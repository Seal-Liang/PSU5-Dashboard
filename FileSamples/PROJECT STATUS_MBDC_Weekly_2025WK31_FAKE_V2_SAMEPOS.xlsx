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00_PROJECTS\00_PROJECTS_2026\2026-03_Project_Status_v5.1\"/>
    </mc:Choice>
  </mc:AlternateContent>
  <xr:revisionPtr revIDLastSave="0" documentId="13_ncr:1_{2D253F48-48D6-4D88-AB71-8150066AF5E1}" xr6:coauthVersionLast="47" xr6:coauthVersionMax="47" xr10:uidLastSave="{00000000-0000-0000-0000-000000000000}"/>
  <bookViews>
    <workbookView xWindow="2280" yWindow="-21720" windowWidth="38640" windowHeight="21840" xr2:uid="{00000000-000D-0000-FFFF-FFFF00000000}"/>
  </bookViews>
  <sheets>
    <sheet name="Total" sheetId="1" r:id="rId1"/>
    <sheet name="MBDC-ADS" sheetId="2" r:id="rId2"/>
    <sheet name="MBDC-CMF" sheetId="3" r:id="rId3"/>
    <sheet name="MBDC-HFDR" sheetId="4" r:id="rId4"/>
    <sheet name="MBDC-ID" sheetId="5" r:id="rId5"/>
    <sheet name="MBDC-UX" sheetId="6" r:id="rId6"/>
    <sheet name="MBDC-VCPD" sheetId="7" r:id="rId7"/>
    <sheet name="AM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8" i="7" l="1"/>
  <c r="K49" i="7" s="1"/>
  <c r="K55" i="7"/>
  <c r="K54" i="7"/>
  <c r="K50" i="7"/>
  <c r="K48" i="7"/>
  <c r="K35" i="7"/>
  <c r="K34" i="7"/>
  <c r="K30" i="7"/>
  <c r="K28" i="7"/>
  <c r="K15" i="7"/>
  <c r="K14" i="7"/>
  <c r="K10" i="7"/>
  <c r="K8" i="7"/>
  <c r="J46" i="6"/>
  <c r="K28" i="6" s="1"/>
  <c r="K41" i="6"/>
  <c r="K40" i="6"/>
  <c r="K39" i="6"/>
  <c r="K38" i="6"/>
  <c r="K37" i="6"/>
  <c r="K36" i="6"/>
  <c r="K35" i="6"/>
  <c r="K33" i="6"/>
  <c r="K32" i="6"/>
  <c r="K31" i="6"/>
  <c r="K30" i="6"/>
  <c r="K29" i="6"/>
  <c r="K26" i="6"/>
  <c r="K21" i="6"/>
  <c r="K20" i="6"/>
  <c r="K19" i="6"/>
  <c r="K18" i="6"/>
  <c r="K17" i="6"/>
  <c r="K16" i="6"/>
  <c r="K15" i="6"/>
  <c r="K13" i="6"/>
  <c r="K12" i="6"/>
  <c r="K11" i="6"/>
  <c r="K10" i="6"/>
  <c r="K9" i="6"/>
  <c r="J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115" i="5" s="1"/>
  <c r="J27" i="4"/>
  <c r="K22" i="4" s="1"/>
  <c r="K23" i="4"/>
  <c r="K21" i="4"/>
  <c r="K7" i="4"/>
  <c r="J33" i="3"/>
  <c r="K30" i="3" s="1"/>
  <c r="K32" i="3"/>
  <c r="K31" i="3"/>
  <c r="K29" i="3"/>
  <c r="K19" i="3"/>
  <c r="K18" i="3"/>
  <c r="K17" i="3"/>
  <c r="K16" i="3"/>
  <c r="K15" i="3"/>
  <c r="K13" i="3"/>
  <c r="K12" i="3"/>
  <c r="K11" i="3"/>
  <c r="K9" i="3"/>
  <c r="J17" i="2"/>
  <c r="K16" i="2"/>
  <c r="K15" i="2"/>
  <c r="K14" i="2"/>
  <c r="K13" i="2"/>
  <c r="K12" i="2"/>
  <c r="K11" i="2"/>
  <c r="K10" i="2"/>
  <c r="K9" i="2"/>
  <c r="K8" i="2"/>
  <c r="K7" i="2"/>
  <c r="K17" i="2" s="1"/>
  <c r="J221" i="1"/>
  <c r="K218" i="1" s="1"/>
  <c r="K220" i="1"/>
  <c r="K219" i="1"/>
  <c r="K217" i="1"/>
  <c r="K207" i="1"/>
  <c r="K206" i="1"/>
  <c r="K205" i="1"/>
  <c r="K204" i="1"/>
  <c r="K203" i="1"/>
  <c r="K201" i="1"/>
  <c r="K200" i="1"/>
  <c r="K199" i="1"/>
  <c r="K197" i="1"/>
  <c r="K187" i="1"/>
  <c r="K186" i="1"/>
  <c r="K185" i="1"/>
  <c r="K184" i="1"/>
  <c r="K183" i="1"/>
  <c r="K181" i="1"/>
  <c r="K180" i="1"/>
  <c r="K179" i="1"/>
  <c r="K177" i="1"/>
  <c r="K167" i="1"/>
  <c r="K166" i="1"/>
  <c r="K165" i="1"/>
  <c r="K164" i="1"/>
  <c r="K163" i="1"/>
  <c r="K161" i="1"/>
  <c r="K160" i="1"/>
  <c r="K159" i="1"/>
  <c r="K157" i="1"/>
  <c r="K147" i="1"/>
  <c r="K146" i="1"/>
  <c r="K145" i="1"/>
  <c r="K144" i="1"/>
  <c r="K143" i="1"/>
  <c r="K141" i="1"/>
  <c r="K140" i="1"/>
  <c r="K139" i="1"/>
  <c r="K137" i="1"/>
  <c r="K127" i="1"/>
  <c r="K126" i="1"/>
  <c r="K125" i="1"/>
  <c r="K124" i="1"/>
  <c r="K123" i="1"/>
  <c r="K121" i="1"/>
  <c r="K120" i="1"/>
  <c r="K119" i="1"/>
  <c r="K117" i="1"/>
  <c r="K107" i="1"/>
  <c r="K106" i="1"/>
  <c r="K105" i="1"/>
  <c r="K104" i="1"/>
  <c r="K103" i="1"/>
  <c r="K101" i="1"/>
  <c r="K100" i="1"/>
  <c r="K99" i="1"/>
  <c r="K97" i="1"/>
  <c r="K87" i="1"/>
  <c r="K86" i="1"/>
  <c r="K85" i="1"/>
  <c r="K84" i="1"/>
  <c r="K83" i="1"/>
  <c r="K81" i="1"/>
  <c r="K80" i="1"/>
  <c r="K79" i="1"/>
  <c r="K77" i="1"/>
  <c r="K67" i="1"/>
  <c r="K66" i="1"/>
  <c r="K65" i="1"/>
  <c r="K64" i="1"/>
  <c r="K63" i="1"/>
  <c r="K61" i="1"/>
  <c r="K60" i="1"/>
  <c r="K59" i="1"/>
  <c r="K57" i="1"/>
  <c r="K47" i="1"/>
  <c r="K46" i="1"/>
  <c r="K45" i="1"/>
  <c r="K44" i="1"/>
  <c r="K43" i="1"/>
  <c r="K41" i="1"/>
  <c r="K40" i="1"/>
  <c r="K39" i="1"/>
  <c r="K37" i="1"/>
  <c r="K27" i="1"/>
  <c r="K26" i="1"/>
  <c r="K25" i="1"/>
  <c r="K24" i="1"/>
  <c r="K23" i="1"/>
  <c r="K21" i="1"/>
  <c r="K20" i="1"/>
  <c r="K19" i="1"/>
  <c r="K17" i="1"/>
  <c r="K7" i="1"/>
  <c r="K24" i="4" l="1"/>
  <c r="K11" i="7"/>
  <c r="K31" i="7"/>
  <c r="K51" i="7"/>
  <c r="K25" i="4"/>
  <c r="K12" i="7"/>
  <c r="K32" i="7"/>
  <c r="K52" i="7"/>
  <c r="K22" i="1"/>
  <c r="K42" i="1"/>
  <c r="K62" i="1"/>
  <c r="K82" i="1"/>
  <c r="K102" i="1"/>
  <c r="K122" i="1"/>
  <c r="K142" i="1"/>
  <c r="K162" i="1"/>
  <c r="K182" i="1"/>
  <c r="K202" i="1"/>
  <c r="K14" i="3"/>
  <c r="K26" i="4"/>
  <c r="K14" i="6"/>
  <c r="K34" i="6"/>
  <c r="K13" i="7"/>
  <c r="K33" i="7"/>
  <c r="K53" i="7"/>
  <c r="K36" i="7"/>
  <c r="K17" i="7"/>
  <c r="K11" i="4"/>
  <c r="K38" i="7"/>
  <c r="K148" i="1"/>
  <c r="K57" i="7"/>
  <c r="K18" i="7"/>
  <c r="K58" i="7"/>
  <c r="K8" i="1"/>
  <c r="K221" i="1" s="1"/>
  <c r="K48" i="1"/>
  <c r="K68" i="1"/>
  <c r="K88" i="1"/>
  <c r="K108" i="1"/>
  <c r="K128" i="1"/>
  <c r="K168" i="1"/>
  <c r="K188" i="1"/>
  <c r="K208" i="1"/>
  <c r="K20" i="3"/>
  <c r="K59" i="7"/>
  <c r="K9" i="1"/>
  <c r="K29" i="1"/>
  <c r="K89" i="1"/>
  <c r="K109" i="1"/>
  <c r="K149" i="1"/>
  <c r="K189" i="1"/>
  <c r="K13" i="4"/>
  <c r="K20" i="7"/>
  <c r="K60" i="7"/>
  <c r="K10" i="1"/>
  <c r="K30" i="1"/>
  <c r="K50" i="1"/>
  <c r="K70" i="1"/>
  <c r="K90" i="1"/>
  <c r="K130" i="1"/>
  <c r="K150" i="1"/>
  <c r="K170" i="1"/>
  <c r="K190" i="1"/>
  <c r="K210" i="1"/>
  <c r="K14" i="4"/>
  <c r="K22" i="6"/>
  <c r="K42" i="6"/>
  <c r="K21" i="7"/>
  <c r="K61" i="7"/>
  <c r="K11" i="1"/>
  <c r="K31" i="1"/>
  <c r="K51" i="1"/>
  <c r="K71" i="1"/>
  <c r="K91" i="1"/>
  <c r="K131" i="1"/>
  <c r="K151" i="1"/>
  <c r="K171" i="1"/>
  <c r="K191" i="1"/>
  <c r="K211" i="1"/>
  <c r="K15" i="4"/>
  <c r="K23" i="6"/>
  <c r="K43" i="6"/>
  <c r="K22" i="7"/>
  <c r="K62" i="7"/>
  <c r="K12" i="1"/>
  <c r="K32" i="1"/>
  <c r="K52" i="1"/>
  <c r="K72" i="1"/>
  <c r="K92" i="1"/>
  <c r="K112" i="1"/>
  <c r="K132" i="1"/>
  <c r="K152" i="1"/>
  <c r="K172" i="1"/>
  <c r="K192" i="1"/>
  <c r="K212" i="1"/>
  <c r="K24" i="3"/>
  <c r="K16" i="4"/>
  <c r="K24" i="6"/>
  <c r="K44" i="6"/>
  <c r="K23" i="7"/>
  <c r="K43" i="7"/>
  <c r="K63" i="7"/>
  <c r="K9" i="4"/>
  <c r="K16" i="7"/>
  <c r="K10" i="4"/>
  <c r="K19" i="7"/>
  <c r="K49" i="1"/>
  <c r="K129" i="1"/>
  <c r="K169" i="1"/>
  <c r="K209" i="1"/>
  <c r="K21" i="3"/>
  <c r="K40" i="7"/>
  <c r="K110" i="1"/>
  <c r="K22" i="3"/>
  <c r="K41" i="7"/>
  <c r="K111" i="1"/>
  <c r="K23" i="3"/>
  <c r="K42" i="7"/>
  <c r="K13" i="1"/>
  <c r="K33" i="1"/>
  <c r="K53" i="1"/>
  <c r="K73" i="1"/>
  <c r="K93" i="1"/>
  <c r="K113" i="1"/>
  <c r="K133" i="1"/>
  <c r="K153" i="1"/>
  <c r="K173" i="1"/>
  <c r="K193" i="1"/>
  <c r="K213" i="1"/>
  <c r="K25" i="3"/>
  <c r="K17" i="4"/>
  <c r="K25" i="6"/>
  <c r="K45" i="6"/>
  <c r="K24" i="7"/>
  <c r="K44" i="7"/>
  <c r="K64" i="7"/>
  <c r="K8" i="4"/>
  <c r="K27" i="4" s="1"/>
  <c r="K37" i="7"/>
  <c r="K12" i="4"/>
  <c r="K56" i="7"/>
  <c r="K28" i="1"/>
  <c r="K39" i="7"/>
  <c r="K69" i="1"/>
  <c r="K14" i="1"/>
  <c r="K34" i="1"/>
  <c r="K54" i="1"/>
  <c r="K74" i="1"/>
  <c r="K94" i="1"/>
  <c r="K114" i="1"/>
  <c r="K134" i="1"/>
  <c r="K154" i="1"/>
  <c r="K174" i="1"/>
  <c r="K194" i="1"/>
  <c r="K214" i="1"/>
  <c r="K26" i="3"/>
  <c r="K18" i="4"/>
  <c r="K25" i="7"/>
  <c r="K45" i="7"/>
  <c r="K65" i="7"/>
  <c r="K15" i="1"/>
  <c r="K35" i="1"/>
  <c r="K55" i="1"/>
  <c r="K75" i="1"/>
  <c r="K95" i="1"/>
  <c r="K115" i="1"/>
  <c r="K135" i="1"/>
  <c r="K155" i="1"/>
  <c r="K175" i="1"/>
  <c r="K195" i="1"/>
  <c r="K215" i="1"/>
  <c r="K7" i="3"/>
  <c r="K27" i="3"/>
  <c r="K19" i="4"/>
  <c r="K7" i="6"/>
  <c r="K27" i="6"/>
  <c r="K26" i="7"/>
  <c r="K46" i="7"/>
  <c r="K66" i="7"/>
  <c r="K16" i="1"/>
  <c r="K36" i="1"/>
  <c r="K56" i="1"/>
  <c r="K76" i="1"/>
  <c r="K96" i="1"/>
  <c r="K116" i="1"/>
  <c r="K136" i="1"/>
  <c r="K156" i="1"/>
  <c r="K176" i="1"/>
  <c r="K196" i="1"/>
  <c r="K216" i="1"/>
  <c r="K8" i="3"/>
  <c r="K28" i="3"/>
  <c r="K20" i="4"/>
  <c r="K8" i="6"/>
  <c r="K7" i="7"/>
  <c r="K27" i="7"/>
  <c r="K47" i="7"/>
  <c r="K67" i="7"/>
  <c r="K18" i="1"/>
  <c r="K38" i="1"/>
  <c r="K58" i="1"/>
  <c r="K78" i="1"/>
  <c r="K98" i="1"/>
  <c r="K118" i="1"/>
  <c r="K138" i="1"/>
  <c r="K158" i="1"/>
  <c r="K178" i="1"/>
  <c r="K198" i="1"/>
  <c r="K10" i="3"/>
  <c r="K9" i="7"/>
  <c r="K29" i="7"/>
  <c r="K33" i="3" l="1"/>
  <c r="K68" i="7"/>
  <c r="K46" i="6"/>
</calcChain>
</file>

<file path=xl/sharedStrings.xml><?xml version="1.0" encoding="utf-8"?>
<sst xmlns="http://schemas.openxmlformats.org/spreadsheetml/2006/main" count="2922" uniqueCount="638">
  <si>
    <t>2025WK31 : 2025/07/28</t>
  </si>
  <si>
    <t>% of working resources allocation</t>
  </si>
  <si>
    <t xml:space="preserve">TEAM NAME : </t>
  </si>
  <si>
    <t>MBDC</t>
  </si>
  <si>
    <t>0</t>
  </si>
  <si>
    <t xml:space="preserve">Project Description </t>
  </si>
  <si>
    <t>Total by Project</t>
  </si>
  <si>
    <t>PROJECT NAME</t>
  </si>
  <si>
    <t>PIC</t>
  </si>
  <si>
    <t>Members</t>
  </si>
  <si>
    <t>BU</t>
  </si>
  <si>
    <t>PROJECT START</t>
  </si>
  <si>
    <t>PROJECT END</t>
  </si>
  <si>
    <t>PROJECT OBJECTIVE</t>
  </si>
  <si>
    <t>CURRENT STATUS</t>
  </si>
  <si>
    <t>LINK TO RELATED FILES</t>
  </si>
  <si>
    <t>Hours</t>
  </si>
  <si>
    <t>%</t>
  </si>
  <si>
    <t>[MP-TOU] Ouelee THU_Jskrhb</t>
  </si>
  <si>
    <t>Hayden Chou (謝翰辰)</t>
  </si>
  <si>
    <t>Hayden Chou (謝翰辰), Cameron Peng (謝宥涵)</t>
  </si>
  <si>
    <t>VH</t>
  </si>
  <si>
    <t>[MP-TOU] Ouelee THU_Jskrhb OBJECTIVE...</t>
  </si>
  <si>
    <t>WK31 CURRENT STATUS ......</t>
  </si>
  <si>
    <t>[SU-WR] Ecwac R149_Lzgifxbmf</t>
  </si>
  <si>
    <t>Hayden Chou (謝翰辰), Cameron Peng (謝宥涵), Logan Kuo (何昱恩)</t>
  </si>
  <si>
    <t>WJ</t>
  </si>
  <si>
    <t>[SU-WR] Ecwac R149_Lzgifxbmf OBJECTIVE...</t>
  </si>
  <si>
    <t>[FX-BB] Lmuzy F560_SNYJHDEM</t>
  </si>
  <si>
    <t>Hayden Chou (謝翰辰), Emerson Wang (葉婷安), Alex Kuo (陳甯婷), Logan Chen (張庭瑜), Cameron Yang (謝承哲), Cameron Peng (謝宥涵), Logan Kuo (何昱恩)</t>
  </si>
  <si>
    <t>[FX-BB] Lmuzy F560_SNYJHDEM OBJECTIVE...</t>
  </si>
  <si>
    <t>[SZ-QD] Dtjca X376_Pcavjeohli</t>
  </si>
  <si>
    <t>Hayden Chou (謝翰辰), Logan Chen (張庭瑜), Cameron Peng (謝宥涵), Logan Kuo (何昱恩)</t>
  </si>
  <si>
    <t>[SZ-QD] Dtjca X376_Pcavjeohli OBJECTIVE...</t>
  </si>
  <si>
    <t>[BD-DF] Anlkv_ AUE15-RAOS OKBH EF_Tzmgnk</t>
  </si>
  <si>
    <t>[BD-DF] Anlkv_ AUE15-RAOS OKBH EF_Tzmgnk OBJECTIVE...</t>
  </si>
  <si>
    <t>[ED] Jek XI153Q_Iqdbbv</t>
  </si>
  <si>
    <t>Hayden Chou (謝翰辰), Jamie Kuo (呂甯宇), Alex Kuo (陳甯婷), Cameron Yang (謝承哲), Cameron Peng (謝宥涵)</t>
  </si>
  <si>
    <t>NO</t>
  </si>
  <si>
    <t>[ED] Jek XI153Q_Iqdbbv OBJECTIVE...</t>
  </si>
  <si>
    <t>[EM] Czc ZB956K R2_Kogsop</t>
  </si>
  <si>
    <t>Hayden Chou (謝翰辰), Alex Kuo (陳甯婷), Cameron Peng (謝宥涵)</t>
  </si>
  <si>
    <t>[EM] Czc ZB956K R2_Kogsop OBJECTIVE...</t>
  </si>
  <si>
    <t>2061_FN</t>
  </si>
  <si>
    <t>Logan Chou (吳翰恩)</t>
  </si>
  <si>
    <t>Kendall Chou (郭潔昱), Logan Chou (吳翰恩), Parker Peng (劉珊萱), Taylor Tsai (張宇瑜)</t>
  </si>
  <si>
    <t>BZHY</t>
  </si>
  <si>
    <t>2061_FN OBJECTIVE...</t>
  </si>
  <si>
    <t>7469 Onnbnb Byhkx</t>
  </si>
  <si>
    <t>Taylor Tsai (張宇瑜)</t>
  </si>
  <si>
    <t>7469 Onnbnb Byhkx OBJECTIVE...</t>
  </si>
  <si>
    <t>2473 Twtqv Qsrez</t>
  </si>
  <si>
    <t>2473 Twtqv Qsrez OBJECTIVE...</t>
  </si>
  <si>
    <t>1581 BJY - 導資設計 資維組測</t>
  </si>
  <si>
    <t>Logan Liu (李承瑄)</t>
  </si>
  <si>
    <t>Kai Yang (楊子承), Drew Wu (周昱彥), Skyler Peng (林辰昱), Reese Yang (陳翰珊), Logan Huang (郭宇沛), Jamie Chen (陳雯涵), Rowan Chang (謝恩辰), Reese Yang (郭品沛), Quinn Hsieh (許沛翰), Skyler Peng (方承恩), Jordan Yeh (方承哲), Emerson Liu (王珊潔), Skyler Wang (吳安瑜), Logan Liu (李承瑄), Casey Yeh (劉瑄瑜), Jordan Chang (陳涵沛), Rowan Fang (鄭穎瑄), Riley Kuo (許瑄婷), Logan Hsu (楊瑄品), Cameron Peng (彭宥婷)</t>
  </si>
  <si>
    <t>HT</t>
  </si>
  <si>
    <t>1581 BJY - 導資設計 資維組測 OBJECTIVE...</t>
  </si>
  <si>
    <t>3415 NEM - 策策劃計 證試服構</t>
  </si>
  <si>
    <t>Jamie Chen (陳雯涵), Rowan Chang (謝恩辰), Quinn Hsieh (許沛翰), Emerson Liu (王珊潔), Logan Liu (李承瑄), Casey Yeh (劉瑄瑜), Jordan Chang (陳涵沛), Rowan Fang (鄭穎瑄), Riley Kuo (許瑄婷)</t>
  </si>
  <si>
    <t>3415 NEM - 策策劃計 證試服構 OBJECTIVE...</t>
  </si>
  <si>
    <t>3646 XHQ TJT</t>
  </si>
  <si>
    <t>Cameron Chou (吳潔潔)</t>
  </si>
  <si>
    <t>Casey Ho (郭沛恩), Cameron Chou (吳潔潔)</t>
  </si>
  <si>
    <t>LY</t>
  </si>
  <si>
    <t>3646 XHQ TJT OBJECTIVE...</t>
  </si>
  <si>
    <t>3400_Bcr-Ofgk_Osoqiiem_Nhheuxn</t>
  </si>
  <si>
    <t>Logan Chen (張庭瑜), Parker Peng (劉珊萱), Taylor Tsai (張宇瑜)</t>
  </si>
  <si>
    <t>3400_Bcr-Ofgk_Osoqiiem_Nhheuxn OBJECTIVE...</t>
  </si>
  <si>
    <t>9166_PSG NP_DTPNAQP_DSN_Rogotp</t>
  </si>
  <si>
    <t>Hayden Lin (彭潔妤)</t>
  </si>
  <si>
    <t>Hayden Lin (彭潔妤), Jordan Peng (蘇潔涵)</t>
  </si>
  <si>
    <t>9166_PSG NP_DTPNAQP_DSN_Rogotp OBJECTIVE...</t>
  </si>
  <si>
    <t>4693_USK VI_UDCJ_JRB_Lqjetu</t>
  </si>
  <si>
    <t>4693_USK VI_UDCJ_JRB_Lqjetu OBJECTIVE...</t>
  </si>
  <si>
    <t>0244 JVK CJN_Nfrbzdkcw</t>
  </si>
  <si>
    <t>Logan Kuo (何昱恩)</t>
  </si>
  <si>
    <t>Drew Lee (張宇彥), Emerson Wang (葉婷安), Riley Wu (王品沛), Alex Kuo (陳甯婷), Cameron Yang (謝承哲), Cameron Hsieh (陳翰宥), Quinn Ho (許婷安), Cameron Peng (謝宥涵), Logan Kuo (何昱恩)</t>
  </si>
  <si>
    <t>GA</t>
  </si>
  <si>
    <t>0244 JVK CJN_Nfrbzdkcw OBJECTIVE...</t>
  </si>
  <si>
    <t>6209 JXR PTP LS mdkwojz</t>
  </si>
  <si>
    <t>Quinn Lin (彭安昱)</t>
  </si>
  <si>
    <t>Cameron Fang (劉涵宥), Parker Fang (黃萱甯), Quinn Lin (彭安昱)</t>
  </si>
  <si>
    <t>6209 JXR PTP LS mdkwojz OBJECTIVE...</t>
  </si>
  <si>
    <t>5565 Lffgmcz Trnyxl_Dqrdwg</t>
  </si>
  <si>
    <t>Drew Lee (張宇彥)</t>
  </si>
  <si>
    <t>Drew Lee (張宇彥), Cameron Peng (謝宥涵)</t>
  </si>
  <si>
    <t>5565 Lffgmcz Trnyxl_Dqrdwg OBJECTIVE...</t>
  </si>
  <si>
    <t>3654_Gnpcb_Shihvl (ZHW Hom)_Hjiaie</t>
  </si>
  <si>
    <t>Drew Lee (張宇彥), Hayden Chou (謝翰辰), Emerson Wang (葉婷安), Alex Kuo (陳甯婷), Jordan Wang (周子瑜), Cameron Peng (謝宥涵), Logan Kuo (何昱恩)</t>
  </si>
  <si>
    <t>3654_Gnpcb_Shihvl (ZHW Hom)_Hjiaie OBJECTIVE...</t>
  </si>
  <si>
    <t>84-38 ARSW Sbudjh ZB PYR Linkac</t>
  </si>
  <si>
    <t>Parker Fang (黃萱甯), Quinn Lin (彭安昱)</t>
  </si>
  <si>
    <t>84-38 ARSW Sbudjh ZB PYR Linkac OBJECTIVE...</t>
  </si>
  <si>
    <t>HFUQ_494_KB_EIS Ucbybu Kbljknzwpb - Ecp xdr zrvtii</t>
  </si>
  <si>
    <t>Kendall Liu (李潔庭)</t>
  </si>
  <si>
    <t>Reese Chou (張庭穎), Cameron Lu (劉承哲), Kendall Liu (李潔庭), Riley Kuo (許瑄婷), Alex Chang (李雯昱)</t>
  </si>
  <si>
    <t>KL</t>
  </si>
  <si>
    <t>HFUQ_494_KB_EIS Ucbybu Kbljknzwpb - Ecp xdr zrvtii OBJECTIVE...</t>
  </si>
  <si>
    <t>ANAV_419_QR_FHI Bjkwgm Mkgekdkfho - Rhg qmu slfrgy</t>
  </si>
  <si>
    <t>Cameron Lu (劉承哲), Kendall Liu (李潔庭), Riley Kuo (許瑄婷), Alex Chang (李雯昱)</t>
  </si>
  <si>
    <t>SU</t>
  </si>
  <si>
    <t>ANAV_419_QR_FHI Bjkwgm Mkgekdkfho - Rhg qmu slfrgy OBJECTIVE...</t>
  </si>
  <si>
    <t>ZGY Ybbfyg Wbonegbf 04/F</t>
  </si>
  <si>
    <t>Hayden Su (李宇珊)</t>
  </si>
  <si>
    <t>ZGY Ybbfyg Wbonegbf 04/F OBJECTIVE...</t>
  </si>
  <si>
    <t>SX Ettlrai rtijhp</t>
  </si>
  <si>
    <t>Alex Kuo (陳甯婷)</t>
  </si>
  <si>
    <t>SX Ettlrai rtijhp OBJECTIVE...</t>
  </si>
  <si>
    <t>EUX Yqkvnq Jowq oxswj Ykqrsxek</t>
  </si>
  <si>
    <t>Emerson Yang (謝涵庭)</t>
  </si>
  <si>
    <t>Emerson Yang (謝涵庭), Logan Ho (彭涵承)</t>
  </si>
  <si>
    <t>EUX Yqkvnq Jowq oxswj Ykqrsxek OBJECTIVE...</t>
  </si>
  <si>
    <t>BQJ-CSN Ooxzu XN BJ 942 CGAT GYY</t>
  </si>
  <si>
    <t>Kendall Lee (許涵沛)</t>
  </si>
  <si>
    <t>Casey Ho (郭沛恩), Kendall Lee (許涵沛), Reese Chou (張庭穎), Alex Chen (楊萱妤), Casey Yang (林萱子)</t>
  </si>
  <si>
    <t>BQJ-CSN Ooxzu XN BJ 942 CGAT GYY OBJECTIVE...</t>
  </si>
  <si>
    <t>Sqtyecius L5_Lkrqqo</t>
  </si>
  <si>
    <t>Drew Lee (張宇彥), Hayden Chou (謝翰辰), Emerson Wang (葉婷安), Jamie Kuo (呂甯宇), Emerson Yang (謝涵庭), Alex Kuo (陳甯婷), Logan Chen (張庭瑜), Cameron Yang (謝承哲), Kendall Yang (郭品昱), Cameron Peng (謝宥涵), Logan Kuo (何昱恩), Parker Peng (劉珊萱)</t>
  </si>
  <si>
    <t>Sqtyecius L5_Lkrqqo OBJECTIVE...</t>
  </si>
  <si>
    <t>Hpkpzcdfe W0S_Tncfcv</t>
  </si>
  <si>
    <t>Hayden Chou (謝翰辰), Logan Chen (張庭瑜), Cameron Yang (謝承哲), Cameron Peng (謝宥涵), Logan Kuo (何昱恩)</t>
  </si>
  <si>
    <t>Hpkpzcdfe W0S_Tncfcv OBJECTIVE...</t>
  </si>
  <si>
    <t>BOT_253_SFO架測洞洞化台</t>
  </si>
  <si>
    <t>Alex Chang (李雯昱)</t>
  </si>
  <si>
    <t>Jamie Lin (林宇翰), Rowan Chang (謝恩辰), Emerson Liu (王珊潔), Alex Chang (李雯昱)</t>
  </si>
  <si>
    <t>GY</t>
  </si>
  <si>
    <t>BOT_253_SFO架測洞洞化台 OBJECTIVE...</t>
  </si>
  <si>
    <t>JCQ_234_VFJ</t>
  </si>
  <si>
    <t>Parker Kuo (周沛翰)</t>
  </si>
  <si>
    <t>Kendall Huang (郭子穎), Emerson Chen (郭萱雯), Parker Kuo (周沛翰), Alex Chang (李雯昱)</t>
  </si>
  <si>
    <t>JCQ_234_VFJ OBJECTIVE...</t>
  </si>
  <si>
    <t>VXV_718_Ivtvzxucs_Kbg</t>
  </si>
  <si>
    <t>Kendall Huang (郭子穎)</t>
  </si>
  <si>
    <t>Kendall Huang (郭子穎), Emerson Chen (郭萱雯), Alex Chang (李雯昱)</t>
  </si>
  <si>
    <t>VXV_718_Ivtvzxucs_Kbg OBJECTIVE...</t>
  </si>
  <si>
    <t>KAZ_132_VJVJC</t>
  </si>
  <si>
    <t>Riley Kuo (許瑄婷)</t>
  </si>
  <si>
    <t>Kendall Huang (郭子穎), Emerson Chen (郭萱雯), Riley Peng (呂哲瑄), Riley Kuo (許瑄婷), Alex Chang (李雯昱)</t>
  </si>
  <si>
    <t>KAZ_132_VJVJC OBJECTIVE...</t>
  </si>
  <si>
    <t>KLN_VSUVJWB 649CP EKVX-OD MPWH_EWQ_Botcsp</t>
  </si>
  <si>
    <t>KLN_VSUVJWB 649CP EKVX-OD MPWH_EWQ_Botcsp OBJECTIVE...</t>
  </si>
  <si>
    <t>LEGZMSK 290EW yitmjdy_lwkeno</t>
  </si>
  <si>
    <t>LEGZMSK 290EW yitmjdy_lwkeno OBJECTIVE...</t>
  </si>
  <si>
    <t>MA &amp; Jvprw Kpcg-Hpdsy tksnmckfkxd vcutqsvn</t>
  </si>
  <si>
    <t>MA &amp; Jvprw Kpcg-Hpdsy tksnmckfkxd vcutqsvn OBJECTIVE...</t>
  </si>
  <si>
    <t>EEC afczh Ajav_Rmyfck</t>
  </si>
  <si>
    <t>Cameron Peng (謝宥涵)</t>
  </si>
  <si>
    <t>Drew Lee (張宇彥), Hayden Chou (謝翰辰), Jordan Wang (周子瑜), Cameron Peng (謝宥涵), Logan Kuo (何昱恩)</t>
  </si>
  <si>
    <t>UM</t>
  </si>
  <si>
    <t>EEC afczh Ajav_Rmyfck OBJECTIVE...</t>
  </si>
  <si>
    <t>HITG MV016/91TBAG&amp;THM/ Fmqrts OI71_89 QUOS&amp;SYB</t>
  </si>
  <si>
    <t>Quinn Ho (許婷安)</t>
  </si>
  <si>
    <t>WR</t>
  </si>
  <si>
    <t>HITG MV016/91TBAG&amp;THM/ Fmqrts OI71_89 QUOS&amp;SYB OBJECTIVE...</t>
  </si>
  <si>
    <t>Wxeb Qqnvc MH Mnydjs Hbglfnuz_Wmclolwyp</t>
  </si>
  <si>
    <t>Kai Yang (楊子承), Jamie Lin (林宇翰), Reese Chou (張庭穎), Cameron Lu (劉承哲), Skyler Wang (吳安瑜), Riley Kuo (許瑄婷), Logan Hsu (楊瑄品), Cameron Peng (彭宥婷), Alex Chang (李雯昱)</t>
  </si>
  <si>
    <t>Wxeb Qqnvc MH Mnydjs Hbglfnuz_Wmclolwyp OBJECTIVE...</t>
  </si>
  <si>
    <t>NNKV Iztdrsqcge glkd Wdqsvm</t>
  </si>
  <si>
    <t>UL, BD</t>
  </si>
  <si>
    <t>NNKV Iztdrsqcge glkd Wdqsvm OBJECTIVE...</t>
  </si>
  <si>
    <t>CHFB ESDUV</t>
  </si>
  <si>
    <t>Logan Chen (張庭瑜)</t>
  </si>
  <si>
    <t>NW</t>
  </si>
  <si>
    <t>CHFB ESDUV OBJECTIVE...</t>
  </si>
  <si>
    <t>UDUW UML unal ukerc vbxxsqvxu</t>
  </si>
  <si>
    <t>Cameron Fang (劉涵宥), Quinn Lin (彭安昱)</t>
  </si>
  <si>
    <t>WH, TG</t>
  </si>
  <si>
    <t>UDUW UML unal ukerc vbxxsqvxu OBJECTIVE...</t>
  </si>
  <si>
    <t>WNBT JWE Tqzpdilrkvy (EO X4) HTF</t>
  </si>
  <si>
    <t>Cameron Fang (劉涵宥), Hayden Lin (彭潔妤), Quinn Lin (彭安昱)</t>
  </si>
  <si>
    <t>WNBT JWE Tqzpdilrkvy (EO X4) HTF OBJECTIVE...</t>
  </si>
  <si>
    <t>WSMC OVQ Psf SDBQDK CKB</t>
  </si>
  <si>
    <t>HF, LQ</t>
  </si>
  <si>
    <t>WSMC OVQ Psf SDBQDK CKB OBJECTIVE...</t>
  </si>
  <si>
    <t>QYXQ Nygfsudopb HRQ UD pncegkf</t>
  </si>
  <si>
    <t>QYXQ Nygfsudopb HRQ UD pncegkf OBJECTIVE...</t>
  </si>
  <si>
    <t>VHJS Hprfzigxr 9 PQOZ Jvax Fpj</t>
  </si>
  <si>
    <t>IV</t>
  </si>
  <si>
    <t>VHJS Hprfzigxr 9 PQOZ Jvax Fpj OBJECTIVE...</t>
  </si>
  <si>
    <t>MWET Jusrjgwbo Yebdl ZV97DK HPN</t>
  </si>
  <si>
    <t>MWET Jusrjgwbo Yebdl ZV97DK HPN OBJECTIVE...</t>
  </si>
  <si>
    <t>JHBL_tuaumswktf_KH_KAL</t>
  </si>
  <si>
    <t>JHBL_tuaumswktf_KH_KAL OBJECTIVE...</t>
  </si>
  <si>
    <t>BSXD_GQ_Cfpcplj_EAV</t>
  </si>
  <si>
    <t>BSXD_GQ_Cfpcplj_EAV OBJECTIVE...</t>
  </si>
  <si>
    <t>GRTO_YCG_LKX_Uiajom</t>
  </si>
  <si>
    <t>GRTO_YCG_LKX_Uiajom OBJECTIVE...</t>
  </si>
  <si>
    <t>JRAN_UJN_0992</t>
  </si>
  <si>
    <t>Cameron Hsieh (謝珊宇), Logan Chou (吳翰恩)</t>
  </si>
  <si>
    <t>ZW</t>
  </si>
  <si>
    <t>JRAN_UJN_0992 OBJECTIVE...</t>
  </si>
  <si>
    <t>Hxnwnae prsczq</t>
  </si>
  <si>
    <t>Hxnwnae prsczq OBJECTIVE...</t>
  </si>
  <si>
    <t>Tgebbde Byn_904_NZ</t>
  </si>
  <si>
    <t>Jamie Lin (林宇翰), Reese Chou (張庭穎), Cameron Lu (劉承哲), Riley Kuo (許瑄婷)</t>
  </si>
  <si>
    <t>Tgebbde Byn_904_NZ OBJECTIVE...</t>
  </si>
  <si>
    <t>UG-HWUXG OJFB GNPGXAV</t>
  </si>
  <si>
    <t>Rowan Liu (許瑜翰)</t>
  </si>
  <si>
    <t>AP</t>
  </si>
  <si>
    <t>UG-HWUXG OJFB GNPGXAV OBJECTIVE...</t>
  </si>
  <si>
    <t>KI-CGL 63S GOZ</t>
  </si>
  <si>
    <t>Rowan Liu (許瑜翰), Logan Chou (吳翰恩), Alex Peng (葉哲承)</t>
  </si>
  <si>
    <t>KI-CGL 63S GOZ OBJECTIVE...</t>
  </si>
  <si>
    <t>Dsgrzza rxd</t>
  </si>
  <si>
    <t>Quinn Hsu (黃品涵)</t>
  </si>
  <si>
    <t>Drew Ho (許彥彥), Quinn Kuo (許雯承), Quinn Hsu (黃品涵), Parker Tsai (郭宇品)</t>
  </si>
  <si>
    <t>Dsgrzza rxd OBJECTIVE...</t>
  </si>
  <si>
    <t>CIZHWTE FM Xnejqmikt</t>
  </si>
  <si>
    <t>CIZHWTE FM Xnejqmikt OBJECTIVE...</t>
  </si>
  <si>
    <t>Igkbfqw pqenyz</t>
  </si>
  <si>
    <t>Igkbfqw pqenyz OBJECTIVE...</t>
  </si>
  <si>
    <t>Cilwpdp cjdcy</t>
  </si>
  <si>
    <t>Cilwpdp cjdcy OBJECTIVE...</t>
  </si>
  <si>
    <t>Jxodfld_RE台測_AKL5 Epczqbe ylid_TBP_Slnvrk</t>
  </si>
  <si>
    <t>Parker Fang (黃萱甯), Hayden Lin (彭潔妤), Emerson Ho (黃子彥), Quinn Lin (彭安昱)</t>
  </si>
  <si>
    <t>Jxodfld_RE台測_AKL5 Epczqbe ylid_TBP_Slnvrk OBJECTIVE...</t>
  </si>
  <si>
    <t>Mksaccw_OR優測_MZX7 Qgewzb dcw_IXN_Xahsmv</t>
  </si>
  <si>
    <t>Mksaccw_OR優測_MZX7 Qgewzb dcw_IXN_Xahsmv OBJECTIVE...</t>
  </si>
  <si>
    <t>Vbsw-ryvg Xxvvilboez</t>
  </si>
  <si>
    <t>Alex Kuo (陳甯婷), Cameron Peng (謝宥涵)</t>
  </si>
  <si>
    <t>FV</t>
  </si>
  <si>
    <t>Vbsw-ryvg Xxvvilboez OBJECTIVE...</t>
  </si>
  <si>
    <t>E-Yexb</t>
  </si>
  <si>
    <t>Quinn Kuo (許雯承)</t>
  </si>
  <si>
    <t>Quinn Kuo (許雯承), Quinn Hsu (黃品涵), Logan Su (郭涵雯), Taylor Tsai (張宇瑜)</t>
  </si>
  <si>
    <t>E-Yexb OBJECTIVE...</t>
  </si>
  <si>
    <t>FKG 5Z284_Ebuaex</t>
  </si>
  <si>
    <t>XO</t>
  </si>
  <si>
    <t>FKG 5Z284_Ebuaex OBJECTIVE...</t>
  </si>
  <si>
    <t>UGK R003_Hhebka</t>
  </si>
  <si>
    <t>UGK R003_Hhebka OBJECTIVE...</t>
  </si>
  <si>
    <t>Ygkpg_mpqptpp xireig</t>
  </si>
  <si>
    <t>Reese Chou (張庭穎), Cameron Lu (劉承哲), Riley Kuo (許瑄婷)</t>
  </si>
  <si>
    <t>Ygkpg_mpqptpp xireig OBJECTIVE...</t>
  </si>
  <si>
    <t>ETMG_gtznvm</t>
  </si>
  <si>
    <t>Cameron Yang (謝承哲), Cameron Peng (謝宥涵)</t>
  </si>
  <si>
    <t>ETMG_gtznvm OBJECTIVE...</t>
  </si>
  <si>
    <t>BL48_Fuursk</t>
  </si>
  <si>
    <t>BL48_Fuursk OBJECTIVE...</t>
  </si>
  <si>
    <t>AD36_Wvcsjo</t>
  </si>
  <si>
    <t>Jordan Wang (周子瑜)</t>
  </si>
  <si>
    <t>Alex Kuo (陳甯婷), Jordan Wang (周子瑜), Cameron Peng (謝宥涵), Parker Peng (劉珊萱)</t>
  </si>
  <si>
    <t>AD36_Wvcsjo OBJECTIVE...</t>
  </si>
  <si>
    <t>Upabrl_503_Rgtxtaeeo KS/WH Vmhb/PECZ</t>
  </si>
  <si>
    <t>Jamie Lin (林宇翰), Reese Chou (張庭穎), Cameron Lu (劉承哲), Riley Kuo (許瑄婷), Alex Chang (李雯昱)</t>
  </si>
  <si>
    <t>ST</t>
  </si>
  <si>
    <t>Upabrl_503_Rgtxtaeeo KS/WH Vmhb/PECZ OBJECTIVE...</t>
  </si>
  <si>
    <t>Kysaeb_265_Gubbcntwbi Ftu</t>
  </si>
  <si>
    <t>Jamie Lin (林宇翰), Cameron Lu (劉承哲), Kendall Liu (李潔庭), Riley Kuo (許瑄婷), Alex Chang (李雯昱)</t>
  </si>
  <si>
    <t>Kysaeb_265_Gubbcntwbi Ftu OBJECTIVE...</t>
  </si>
  <si>
    <t>Udtr Zdoxjok流需</t>
  </si>
  <si>
    <t>Skyler Wang (吳安瑜)</t>
  </si>
  <si>
    <t>Rowan Chang (謝恩辰), Morgan Su (吳涵婷), Emerson Liu (王珊潔), Skyler Wang (吳安瑜)</t>
  </si>
  <si>
    <t>Udtr Zdoxjok流需 OBJECTIVE...</t>
  </si>
  <si>
    <t>MTW_ VG-PORT_SDS_Shadva</t>
  </si>
  <si>
    <t>MTW_ VG-PORT_SDS_Shadva OBJECTIVE...</t>
  </si>
  <si>
    <t>XUD_QDZ_DTGMXQU 786IG KZME-ST DBSK_GCD_Dzvmsg</t>
  </si>
  <si>
    <t>XUD_QDZ_DTGMXQU 786IG KZME-ST DBSK_GCD_Dzvmsg OBJECTIVE...</t>
  </si>
  <si>
    <t>GXF_JEEF GVL Atbjgi_MIT_Opktar</t>
  </si>
  <si>
    <t>Hayden Lin (彭潔妤), Emerson Ho (黃子彥), Quinn Lin (彭安昱)</t>
  </si>
  <si>
    <t>GXF_JEEF GVL Atbjgi_MIT_Opktar OBJECTIVE...</t>
  </si>
  <si>
    <t>VKL_PUOJ3N_E2_EAW_semrjs</t>
  </si>
  <si>
    <t>Hayden Lin (彭潔妤), Emerson Ho (黃子彥)</t>
  </si>
  <si>
    <t>VKL_PUOJ3N_E2_EAW_semrjs OBJECTIVE...</t>
  </si>
  <si>
    <t>SWJ_UBNJ-KTI_ID_MSM_lmafcs</t>
  </si>
  <si>
    <t>SWJ_UBNJ-KTI_ID_MSM_lmafcs OBJECTIVE...</t>
  </si>
  <si>
    <t>MXM_Dbsh0OX V6871_</t>
  </si>
  <si>
    <t>MXM_Dbsh0OX V6871_ OBJECTIVE...</t>
  </si>
  <si>
    <t>KKE_Tral9RT D2252_PVX_Btoxrl</t>
  </si>
  <si>
    <t>KKE_Tral9RT D2252_PVX_Btoxrl OBJECTIVE...</t>
  </si>
  <si>
    <t>XKS_THL-Z458 (WSID)_WGD_Jbzlva</t>
  </si>
  <si>
    <t>XKS_THL-Z458 (WSID)_WGD_Jbzlva OBJECTIVE...</t>
  </si>
  <si>
    <t>WUU_YJO-V052_YCK_Ewvtrw</t>
  </si>
  <si>
    <t>WUU_YJO-V052_YCK_Ewvtrw OBJECTIVE...</t>
  </si>
  <si>
    <t>UAU_Orkjmhp5_LTO_Wthhpi</t>
  </si>
  <si>
    <t>UAU_Orkjmhp5_LTO_Wthhpi OBJECTIVE...</t>
  </si>
  <si>
    <t>OSI_QX0784J_AMH_Oovvcu</t>
  </si>
  <si>
    <t>OSI_QX0784J_AMH_Oovvcu OBJECTIVE...</t>
  </si>
  <si>
    <t>VQU_GZ6513U C0_FYL_Pozprv</t>
  </si>
  <si>
    <t>VQU_GZ6513U C0_FYL_Pozprv OBJECTIVE...</t>
  </si>
  <si>
    <t>CSU_SEL-6124 OJYMKG_JRI_Qlajum</t>
  </si>
  <si>
    <t>CSU_SEL-6124 OJYMKG_JRI_Qlajum OBJECTIVE...</t>
  </si>
  <si>
    <t>KHM_JPK-U_OS022_CCG_ifviwd</t>
  </si>
  <si>
    <t>KHM_JPK-U_OS022_CCG_ifviwd OBJECTIVE...</t>
  </si>
  <si>
    <t>EHF_JNP-N_M7_FIK_fhtqmv</t>
  </si>
  <si>
    <t>EHF_JNP-N_M7_FIK_fhtqmv OBJECTIVE...</t>
  </si>
  <si>
    <t>OBX_K447TO-YG-NE ddtxzqxl_OCW_qfkffa</t>
  </si>
  <si>
    <t>OBX_K447TO-YG-NE ddtxzqxl_OCW_qfkffa OBJECTIVE...</t>
  </si>
  <si>
    <t>WKKJP_UJ zqrq</t>
  </si>
  <si>
    <t>WKKJP_UJ zqrq OBJECTIVE...</t>
  </si>
  <si>
    <t>V3-dlwb_Iplvkw</t>
  </si>
  <si>
    <t>Hayden Chou (謝翰辰), Emerson Wang (葉婷安), Logan Chen (張庭瑜), Cameron Peng (謝宥涵), Logan Kuo (何昱恩)</t>
  </si>
  <si>
    <t>V3-dlwb_Iplvkw OBJECTIVE...</t>
  </si>
  <si>
    <t>Mhkiceei Xiepmdxswt - Pphcut Zjeepigv / Thhf Efwj / Swjq Pdpuvsl</t>
  </si>
  <si>
    <t>Jamie Yang (楊涵萱)</t>
  </si>
  <si>
    <t>Jamie Yang (楊涵萱), Skyler Peng (林辰昱), Quinn Hsieh (許沛翰), Jordan Yeh (方承哲), Emerson Liu (王珊潔), Logan Liu (李承瑄)</t>
  </si>
  <si>
    <t>SK</t>
  </si>
  <si>
    <t>Mhkiceei Xiepmdxswt - Pphcut Zjeepigv / Thhf Efwj / Swjq Pdpuvsl OBJECTIVE...</t>
  </si>
  <si>
    <t>Ahbpavpxhb_Vpulcrp79</t>
  </si>
  <si>
    <t>Ahbpavpxhb_Vpulcrp79 OBJECTIVE...</t>
  </si>
  <si>
    <t>TL fkr</t>
  </si>
  <si>
    <t>Drew Ho (許彥彥), Quinn Kuo (許雯承), Quinn Hsu (黃品涵), Parker Tsai (郭宇品), Parker Yang (王彥宥)</t>
  </si>
  <si>
    <t>TL fkr OBJECTIVE...</t>
  </si>
  <si>
    <t>KP ZA&amp;XTT</t>
  </si>
  <si>
    <t>Kendall Lee (許涵沛), Logan Chen (張庭瑜), Parker Peng (劉珊萱), Taylor Tsai (張宇瑜)</t>
  </si>
  <si>
    <t>KP ZA&amp;XTT OBJECTIVE...</t>
  </si>
  <si>
    <t>BC wrmvtu</t>
  </si>
  <si>
    <t>BC wrmvtu OBJECTIVE...</t>
  </si>
  <si>
    <t>TV_271_Nnhuxw ASLO</t>
  </si>
  <si>
    <t>Emerson Chen (郭萱雯), Jamie Chen (陳雯涵), Reese Chou (張庭穎), Cameron Lu (劉承哲), Kendall Liu (李潔庭), Alex Chang (李雯昱)</t>
  </si>
  <si>
    <t>TV_271_Nnhuxw ASLO OBJECTIVE...</t>
  </si>
  <si>
    <t>CM_668_RJG求設析作測資模證</t>
  </si>
  <si>
    <t>Jamie Chen (陳雯涵), Reese Chou (張庭穎), Emerson Liu (王珊潔), Riley Kuo (許瑄婷), Alex Chang (李雯昱)</t>
  </si>
  <si>
    <t>CM_668_RJG求設析作測資模證 OBJECTIVE...</t>
  </si>
  <si>
    <t>BP_AJTC</t>
  </si>
  <si>
    <t>Jamie Lin (林宇翰), Cameron Lu (劉承哲), Kendall Liu (李潔庭), Alex Chang (李雯昱)</t>
  </si>
  <si>
    <t>BP_AJTC OBJECTIVE...</t>
  </si>
  <si>
    <t>WJ1551-QBXFLICE</t>
  </si>
  <si>
    <t>Casey Ho (郭沛恩), Rowan Liu (許瑜翰), Jamie Kuo (呂甯宇), Kendall Lee (許涵沛), Cameron Peng (楊承品), Cameron Yang (謝承哲), Logan Chou (吳翰恩), Alex Peng (葉哲承), Taylor Wang (郭承妤), Cameron Chou (吳潔潔), Alex Chen (楊萱妤), Casey Yang (林萱子)</t>
  </si>
  <si>
    <t>WJ1551-QBXFLICE OBJECTIVE...</t>
  </si>
  <si>
    <t>CY-QBE pww 1737</t>
  </si>
  <si>
    <t>Logan Chou (吳翰恩), Casey Yang (林萱子)</t>
  </si>
  <si>
    <t>CY-QBE pww 1737 OBJECTIVE...</t>
  </si>
  <si>
    <t>SN-MHG OUO FTU</t>
  </si>
  <si>
    <t>Alex Chen (楊萱妤)</t>
  </si>
  <si>
    <t>Quinn Su (陳子宥), Casey Ho (郭沛恩), Logan Chou (吳翰恩), Alex Chen (楊萱妤), Casey Yang (林萱子)</t>
  </si>
  <si>
    <t>SN-MHG OUO FTU OBJECTIVE...</t>
  </si>
  <si>
    <t>ZW-MXH SYP VWSP IH RCI</t>
  </si>
  <si>
    <t>Casey Yang (林萱子)</t>
  </si>
  <si>
    <t>Taylor Wang (郭承妤), Casey Yang (林萱子)</t>
  </si>
  <si>
    <t>ZW-MXH SYP VWSP IH RCI OBJECTIVE...</t>
  </si>
  <si>
    <t>ER-BGR HTKMI</t>
  </si>
  <si>
    <t>ER-BGR HTKMI OBJECTIVE...</t>
  </si>
  <si>
    <t>EU-LLO TILWJ NYFHFR</t>
  </si>
  <si>
    <t>EU-LLO TILWJ NYFHFR OBJECTIVE...</t>
  </si>
  <si>
    <t>DA-CJS DGNLI TX資</t>
  </si>
  <si>
    <t>Kendall Lee (許涵沛), Cameron Yang (謝承哲), Casey Yang (林萱子)</t>
  </si>
  <si>
    <t>DA-CJS DGNLI TX資 OBJECTIVE...</t>
  </si>
  <si>
    <t>RY-WHS 1151</t>
  </si>
  <si>
    <t>RY-WHS 1151 OBJECTIVE...</t>
  </si>
  <si>
    <t>OO-UUX 3700 Thxyml Fmxcd</t>
  </si>
  <si>
    <t>Kendall Lee (許涵沛), Logan Chen (張庭瑜), Taylor Wang (郭承妤), Cameron Chou (吳潔潔), Alex Chen (楊萱妤), Parker Peng (劉珊萱), Casey Yang (林萱子), Taylor Tsai (張宇瑜)</t>
  </si>
  <si>
    <t>OO-UUX 3700 Thxyml Fmxcd OBJECTIVE...</t>
  </si>
  <si>
    <t>LG-SOY N780Z ZSYB IZFP</t>
  </si>
  <si>
    <t>LG-SOY N780Z ZSYB IZFP OBJECTIVE...</t>
  </si>
  <si>
    <t>FI-HCJ V491R IBNU MHI</t>
  </si>
  <si>
    <t>Casey Ho (郭沛恩), Alex Chen (楊萱妤), Casey Yang (林萱子)</t>
  </si>
  <si>
    <t>FI-HCJ V491R IBNU MHI OBJECTIVE...</t>
  </si>
  <si>
    <t>LE-ECVNUPSR Lnmd xomuyf wilpjauobitdr</t>
  </si>
  <si>
    <t>LE-ECVNUPSR Lnmd xomuyf wilpjauobitdr OBJECTIVE...</t>
  </si>
  <si>
    <t>PP-JJRLZ F084-X dessdw</t>
  </si>
  <si>
    <t>Rowan Liu (許瑜翰), Kendall Lee (許涵沛), Quinn Ho (許婷安), Casey Yang (林萱子)</t>
  </si>
  <si>
    <t>PP-JJRLZ F084-X dessdw OBJECTIVE...</t>
  </si>
  <si>
    <t>UU-I879 JGZLT NNJTQXP</t>
  </si>
  <si>
    <t>Taylor Wang (郭承妤)</t>
  </si>
  <si>
    <t>Kendall Lee (許涵沛), Taylor Wang (郭承妤), Casey Yang (林萱子), Taylor Tsai (張宇瑜)</t>
  </si>
  <si>
    <t>UU-I879 JGZLT NNJTQXP OBJECTIVE...</t>
  </si>
  <si>
    <t>QT-WO QHR XPNPJA VSOBYZ 試協導</t>
  </si>
  <si>
    <t>QT-WO QHR XPNPJA VSOBYZ 試協導 OBJECTIVE...</t>
  </si>
  <si>
    <t>MR-平分 JIIFI/QHC/EGM YZ 553 模試</t>
  </si>
  <si>
    <t>MR-平分 JIIFI/QHC/EGM YZ 553 模試 OBJECTIVE...</t>
  </si>
  <si>
    <t>WW-模需_MFKCQ_UDW_JET</t>
  </si>
  <si>
    <t>WW-模需_MFKCQ_UDW_JET OBJECTIVE...</t>
  </si>
  <si>
    <t>Bmsu Pvwukc kbo-rwtc_fgvtzi</t>
  </si>
  <si>
    <t>Cameron Peng (謝宥涵), Logan Kuo (何昱恩)</t>
  </si>
  <si>
    <t>Bmsu Pvwukc kbo-rwtc_fgvtzi OBJECTIVE...</t>
  </si>
  <si>
    <t>Uvdkua atlpcx pgvuaf ndhzeeb_vbajpdkpz</t>
  </si>
  <si>
    <t>Alex Kuo (陳甯婷), Jordan Wang (周子瑜), Cameron Peng (謝宥涵)</t>
  </si>
  <si>
    <t>Uvdkua atlpcx pgvuaf ndhzeeb_vbajpdkpz OBJECTIVE...</t>
  </si>
  <si>
    <t>Bxartht_898_Cfdzys Flpuuvldrfn</t>
  </si>
  <si>
    <t>Skyler Huang (楊涵安)</t>
  </si>
  <si>
    <t>Reese Kuo (劉瑜潔), Jamie Lin (林宇翰), Jamie Chen (陳雯涵), Rowan Chang (謝恩辰), Cameron Lu (劉承哲), Morgan Su (吳涵婷), Skyler Huang (楊涵安), Riley Kuo (許瑄婷), Alex Chang (李雯昱)</t>
  </si>
  <si>
    <t>Bxartht_898_Cfdzys Flpuuvldrfn OBJECTIVE...</t>
  </si>
  <si>
    <t>Hwvekud_895_ ZOS Twimgsa+ Vigtdvch Ovfvnljq</t>
  </si>
  <si>
    <t>Jamie Lin (林宇翰), Cameron Lu (劉承哲), Skyler Huang (楊涵安), Alex Chang (李雯昱)</t>
  </si>
  <si>
    <t>Hwvekud_895_ ZOS Twimgsa+ Vigtdvch Ovfvnljq OBJECTIVE...</t>
  </si>
  <si>
    <t>Hrclxcs_871_流試測協</t>
  </si>
  <si>
    <t>Emerson Chen (郭萱雯), Cameron Lu (劉承哲), Riley Peng (呂哲瑄), Kendall Liu (李潔庭), Parker Kuo (周沛翰), Riley Kuo (許瑄婷), Alex Chang (李雯昱)</t>
  </si>
  <si>
    <t>Hrclxcs_871_流試測協 OBJECTIVE...</t>
  </si>
  <si>
    <t>Eavnhnd_223_Mlklhmoiwexkg Qtzqpp</t>
  </si>
  <si>
    <t>Kendall Huang (郭子穎), Jamie Lin (林宇翰), Cameron Lu (劉承哲), Riley Peng (呂哲瑄), Alex Chang (李雯昱)</t>
  </si>
  <si>
    <t>Eavnhnd_223_Mlklhmoiwexkg Qtzqpp OBJECTIVE...</t>
  </si>
  <si>
    <t>ODJH NC</t>
  </si>
  <si>
    <t>Drew Wu (周昱彥), Reese Yang (陳翰珊), Jamie Chen (陳雯涵), Emerson Liu (王珊潔), Rowan Fang (鄭穎瑄), Riley Kuo (許瑄婷)</t>
  </si>
  <si>
    <t>ODJH NC OBJECTIVE...</t>
  </si>
  <si>
    <t>SSN_JC78/RO79L_XUA_Lepxvt</t>
  </si>
  <si>
    <t>SSN_JC78/RO79L_XUA_Lepxvt OBJECTIVE...</t>
  </si>
  <si>
    <t>ONY_KU36_SGL_Tmxomu</t>
  </si>
  <si>
    <t>ONY_KU36_SGL_Tmxomu OBJECTIVE...</t>
  </si>
  <si>
    <t>JFWE_561_Ynw Caktejtntc</t>
  </si>
  <si>
    <t>Reese Chou (張庭穎)</t>
  </si>
  <si>
    <t>Kendall Huang (郭子穎), Reese Chou (張庭穎), Cameron Lu (劉承哲), Alex Chang (李雯昱)</t>
  </si>
  <si>
    <t>OY</t>
  </si>
  <si>
    <t>JFWE_561_Ynw Caktejtntc OBJECTIVE...</t>
  </si>
  <si>
    <t>XOVO_320_SEY</t>
  </si>
  <si>
    <t>Kendall Huang (郭子穎), Reese Chou (張庭穎), Alex Chang (李雯昱)</t>
  </si>
  <si>
    <t>XOVO_320_SEY OBJECTIVE...</t>
  </si>
  <si>
    <t>UPHO LWS ixjjldfc</t>
  </si>
  <si>
    <t>UPHO LWS ixjjldfc OBJECTIVE...</t>
  </si>
  <si>
    <t>Yncrdqequ_Vnsoylyurnras_Kjcgyphj</t>
  </si>
  <si>
    <t>Yncrdqequ_Vnsoylyurnras_Kjcgyphj OBJECTIVE...</t>
  </si>
  <si>
    <t>AO43EUA / LW59VPS</t>
  </si>
  <si>
    <t>Logan Ho (劉瑜涵)</t>
  </si>
  <si>
    <t>AO43EUA / LW59VPS OBJECTIVE...</t>
  </si>
  <si>
    <t>Wcobo JT_Lnlazp</t>
  </si>
  <si>
    <t>Drew Lee (張宇彥), Hayden Chou (謝翰辰), Cameron Peng (謝宥涵), Logan Kuo (何昱恩)</t>
  </si>
  <si>
    <t>Wcobo JT_Lnlazp OBJECTIVE...</t>
  </si>
  <si>
    <t>pd30_端料雲察需分+智平平導平</t>
  </si>
  <si>
    <t>Quinn Kuo (許雯承), Logan Ho (劉瑜涵), Taylor Tsai (張宇瑜)</t>
  </si>
  <si>
    <t>pd30_端料雲察需分+智平平導平 OBJECTIVE...</t>
  </si>
  <si>
    <t>EG46 kwqcqz_xkutmm</t>
  </si>
  <si>
    <t>Jamie Kuo (呂甯宇), Alex Kuo (陳甯婷), Cameron Yang (謝承哲), Jordan Wang (周子瑜), Cameron Peng (謝宥涵)</t>
  </si>
  <si>
    <t>EG46 kwqcqz_xkutmm OBJECTIVE...</t>
  </si>
  <si>
    <t>Rckojl Ywnzf DL319_SUP_Jkhibg</t>
  </si>
  <si>
    <t>Rckojl Ywnzf DL319_SUP_Jkhibg OBJECTIVE...</t>
  </si>
  <si>
    <t>Lvd Yeldyj Czijcgd 6479</t>
  </si>
  <si>
    <t>Lvd Yeldyj Czijcgd 6479 OBJECTIVE...</t>
  </si>
  <si>
    <t>Awqsjv Giioeygyid Wfagnh MBH</t>
  </si>
  <si>
    <t>GD</t>
  </si>
  <si>
    <t>Awqsjv Giioeygyid Wfagnh MBH OBJECTIVE...</t>
  </si>
  <si>
    <t>Grjfvt Muhonol W389_OYD_Ieemio</t>
  </si>
  <si>
    <t>Grjfvt Muhonol W389_OYD_Ieemio OBJECTIVE...</t>
  </si>
  <si>
    <t>Txuqap Cgavgzwcuy Bqox</t>
  </si>
  <si>
    <t>Quinn Ho (許婷安), Parker Tsai (郭宇品), Riley Kuo (許瑄婷), Logan Su (郭涵雯)</t>
  </si>
  <si>
    <t>Txuqap Cgavgzwcuy Bqox OBJECTIVE...</t>
  </si>
  <si>
    <t>Ccbfbu MCQQVC Pxktoj / IQ33XCNWK</t>
  </si>
  <si>
    <t>Parker Tsai (郭宇品)</t>
  </si>
  <si>
    <t>Ccbfbu MCQQVC Pxktoj / IQ33XCNWK OBJECTIVE...</t>
  </si>
  <si>
    <t>Htadbt JU10 pbwcxbh</t>
  </si>
  <si>
    <t>Quinn Hsu (黃品涵), Logan Su (郭涵雯)</t>
  </si>
  <si>
    <t>Htadbt JU10 pbwcxbh OBJECTIVE...</t>
  </si>
  <si>
    <t>Fbmtbp Cyzwnuaol/Ece</t>
  </si>
  <si>
    <t>Drew Ho (許彥彥), Quinn Ho (許婷安), Logan Ho (劉瑜涵), Reese Huang (謝恩昱), Parker Tsai (郭宇品)</t>
  </si>
  <si>
    <t>Fbmtbp Cyzwnuaol/Ece OBJECTIVE...</t>
  </si>
  <si>
    <t>Ejliep Eizmnb</t>
  </si>
  <si>
    <t>Reese Huang (謝恩昱), Parker Tsai (郭宇品)</t>
  </si>
  <si>
    <t>MS</t>
  </si>
  <si>
    <t>Ejliep Eizmnb OBJECTIVE...</t>
  </si>
  <si>
    <t>XIXIIF MGY 66</t>
  </si>
  <si>
    <t>Cameron Hsieh (謝珊宇)</t>
  </si>
  <si>
    <t>Rowan Liu (許瑜翰), Cameron Hsieh (謝珊宇), Cameron Chou (吳潔潔)</t>
  </si>
  <si>
    <t>XIXIIF MGY 66 OBJECTIVE...</t>
  </si>
  <si>
    <t>Ffgapf 模程</t>
  </si>
  <si>
    <t>Rowan Liu (許瑜翰), Cameron Hsieh (謝珊宇), Cameron Hsieh (陳翰宥)</t>
  </si>
  <si>
    <t>Ffgapf 模程 OBJECTIVE...</t>
  </si>
  <si>
    <t>Xpiqza_Lllccwm_VO_KDW</t>
  </si>
  <si>
    <t>Xpiqza_Lllccwm_VO_KDW OBJECTIVE...</t>
  </si>
  <si>
    <t>Jwaivg_NG_IVX_Ruetpp</t>
  </si>
  <si>
    <t>Jwaivg_NG_IVX_Ruetpp OBJECTIVE...</t>
  </si>
  <si>
    <t>YWVWCJ_XLS</t>
  </si>
  <si>
    <t>YWVWCJ_XLS OBJECTIVE...</t>
  </si>
  <si>
    <t>ZNY-SQJ-ULUMBAH-RNHU-VXJITWL</t>
  </si>
  <si>
    <t>DV</t>
  </si>
  <si>
    <t>ZNY-SQJ-ULUMBAH-RNHU-VXJITWL OBJECTIVE...</t>
  </si>
  <si>
    <t>KKJ-DUC-XJGDHAN-JXUBT-OAXXDEN</t>
  </si>
  <si>
    <t>KKJ-DUC-XJGDHAN-JXUBT-OAXXDEN OBJECTIVE...</t>
  </si>
  <si>
    <t>Ufdmddcg_REL frstlqb cococmyzn</t>
  </si>
  <si>
    <t>Jamie Kuo (呂甯宇)</t>
  </si>
  <si>
    <t>Ufdmddcg_REL frstlqb cococmyzn OBJECTIVE...</t>
  </si>
  <si>
    <t>Oqaohoik_GL qliosqn laczzm</t>
  </si>
  <si>
    <t>Oqaohoik_GL qliosqn laczzm OBJECTIVE...</t>
  </si>
  <si>
    <t>Uswnruxl_Qwscf Vgphsfa Ygng Zgedoh</t>
  </si>
  <si>
    <t>Uswnruxl_Qwscf Vgphsfa Ygng Zgedoh OBJECTIVE...</t>
  </si>
  <si>
    <t>Wngsjiza_IVR Sksrfpnfihwa</t>
  </si>
  <si>
    <t>Wngsjiza_IVR Sksrfpnfihwa OBJECTIVE...</t>
  </si>
  <si>
    <t>Aklzpwth_IJQ Gucusctke Midekhrbnq</t>
  </si>
  <si>
    <t>Jamie Kuo (呂甯宇), Emerson Yang (謝涵庭)</t>
  </si>
  <si>
    <t>Aklzpwth_IJQ Gucusctke Midekhrbnq OBJECTIVE...</t>
  </si>
  <si>
    <t>Bpqds_290_jtppb察服模面</t>
  </si>
  <si>
    <t>Reese Chou (張庭穎), Cameron Lu (劉承哲), Riley Peng (呂哲瑄), Alex Chang (李雯昱)</t>
  </si>
  <si>
    <t>KJ</t>
  </si>
  <si>
    <t>Bpqds_290_jtppb察服模面 OBJECTIVE...</t>
  </si>
  <si>
    <t>Jtgdr_603_算組維</t>
  </si>
  <si>
    <t>Jamie Lin (林宇翰), Reese Chou (張庭穎), Cameron Lu (劉承哲), Alex Chang (李雯昱)</t>
  </si>
  <si>
    <t>Jtgdr_603_算組維 OBJECTIVE...</t>
  </si>
  <si>
    <t>Uidcg_870_Pqzxi</t>
  </si>
  <si>
    <t>Kendall Huang (郭子穎), Emerson Chen (郭萱雯), Cameron Lu (劉承哲), Alex Chang (李雯昱)</t>
  </si>
  <si>
    <t>Uidcg_870_Pqzxi OBJECTIVE...</t>
  </si>
  <si>
    <t>LND 15測務 bqojd PO Kzqdqs</t>
  </si>
  <si>
    <t>LND 15測務 bqojd PO Kzqdqs OBJECTIVE...</t>
  </si>
  <si>
    <t>QMR 47模作析面</t>
  </si>
  <si>
    <t>QMR 47模作析面 OBJECTIVE...</t>
  </si>
  <si>
    <t>ZLK 035</t>
  </si>
  <si>
    <t>Cameron Hsieh (謝珊宇), Cameron Chou (吳潔潔)</t>
  </si>
  <si>
    <t>ZLK 035 OBJECTIVE...</t>
  </si>
  <si>
    <t>BIL UA Pamwrf DFR kdrwuy</t>
  </si>
  <si>
    <t>BIL UA Pamwrf DFR kdrwuy OBJECTIVE...</t>
  </si>
  <si>
    <t>UDO Fiapd ldutsyfyo &amp; educsfoocpb ifbtbq</t>
  </si>
  <si>
    <t>Emerson Yang (謝涵庭), Kendall Yang (郭品昱)</t>
  </si>
  <si>
    <t>UDO Fiapd ldutsyfyo &amp; educsfoocpb ifbtbq OBJECTIVE...</t>
  </si>
  <si>
    <t>TOJ MKBF SQR</t>
  </si>
  <si>
    <t>Kendall Lee (許涵沛), Taylor Wang (郭承妤), Taylor Tsai (張宇瑜)</t>
  </si>
  <si>
    <t>TOJ MKBF SQR OBJECTIVE...</t>
  </si>
  <si>
    <t>MRN XKT5 QLWRW_</t>
  </si>
  <si>
    <t>MRN XKT5 QLWRW_ OBJECTIVE...</t>
  </si>
  <si>
    <t>UBE VFV7 NONDZ_TWJ_Gziemq</t>
  </si>
  <si>
    <t>UBE VFV7 NONDZ_TWJ_Gziemq OBJECTIVE...</t>
  </si>
  <si>
    <t>ONJ JE8/IL6P/ZH9 20368/SZ3導流維/PM9服求智/ GN34046/LE4</t>
  </si>
  <si>
    <t>Cameron Peng (楊承品)</t>
  </si>
  <si>
    <t>Drew Ho (許彥彥), Cameron Peng (楊承品), Quinn Kuo (許雯承), Quinn Hsu (黃品涵), Cameron Hsieh (陳翰宥), Parker Peng (劉珊萱), Logan Su (郭涵雯), Taylor Tsai (張宇瑜)</t>
  </si>
  <si>
    <t>ONJ JE8/IL6P/ZH9 20368/SZ3導流維/PM9服求智/ GN34046/LE4 OBJECTIVE...</t>
  </si>
  <si>
    <t>IKO SMRXA_Q763_CWW_Jxiixa</t>
  </si>
  <si>
    <t>IKO SMRXA_Q763_CWW_Jxiixa OBJECTIVE...</t>
  </si>
  <si>
    <t>AYT TRJPQGUCL 4</t>
  </si>
  <si>
    <t>AYT TRJPQGUCL 4 OBJECTIVE...</t>
  </si>
  <si>
    <t>YJC spwtqvtbo lmjwfjt</t>
  </si>
  <si>
    <t>Jamie Kuo (呂甯宇), Logan Ho (劉瑜涵), Parker Tsai (郭宇品), Parker Yang (王彥宥), Logan Su (郭涵雯)</t>
  </si>
  <si>
    <t>YJC spwtqvtbo lmjwfjt OBJECTIVE...</t>
  </si>
  <si>
    <t>YSV SDUVS VRDV 152 GZDR JDG OEGN</t>
  </si>
  <si>
    <t>Kendall Lee (許涵沛), Cameron Yang (謝承哲)</t>
  </si>
  <si>
    <t>YSV SDUVS VRDV 152 GZDR JDG OEGN OBJECTIVE...</t>
  </si>
  <si>
    <t>FTC VL wtbyxmw</t>
  </si>
  <si>
    <t>FTC VL wtbyxmw OBJECTIVE...</t>
  </si>
  <si>
    <t>FQZ_30hc_Slrkc.</t>
  </si>
  <si>
    <t>FQZ_30hc_Slrkc. OBJECTIVE...</t>
  </si>
  <si>
    <t>ZYJ_079護察維</t>
  </si>
  <si>
    <t>ZYJ_079護察維 OBJECTIVE...</t>
  </si>
  <si>
    <t>LAX_LNS_ODF_Msjksq</t>
  </si>
  <si>
    <t>LAX_LNS_ODF_Msjksq OBJECTIVE...</t>
  </si>
  <si>
    <t>OGV_XX_EMO</t>
  </si>
  <si>
    <t>Cameron Fang (劉涵宥), Parker Fang (黃萱甯), Hayden Lin (彭潔妤), Emerson Ho (黃子彥), Jordan Peng (蘇潔涵), Quinn Lin (彭安昱)</t>
  </si>
  <si>
    <t>OGV_XX_EMO OBJECTIVE...</t>
  </si>
  <si>
    <t>ARW_SHJ_VUE_Xehcqw</t>
  </si>
  <si>
    <t>Cameron Fang (劉涵宥), Hayden Lin (彭潔妤), Emerson Ho (黃子彥), Quinn Lin (彭安昱)</t>
  </si>
  <si>
    <t>ARW_SHJ_VUE_Xehcqw OBJECTIVE...</t>
  </si>
  <si>
    <t>FUK_Yszrhetrsy_QXO_frjunf</t>
  </si>
  <si>
    <t>GX, SH</t>
  </si>
  <si>
    <t>FUK_Yszrhetrsy_QXO_frjunf OBJECTIVE...</t>
  </si>
  <si>
    <t>RUI_HCE_VGJ_Jomvbp</t>
  </si>
  <si>
    <t>RUI_HCE_VGJ_Jomvbp OBJECTIVE...</t>
  </si>
  <si>
    <t>RNY_XFOM9</t>
  </si>
  <si>
    <t>Cameron Hsieh (陳翰宥)</t>
  </si>
  <si>
    <t>Cameron Peng (楊承品), Quinn Kuo (許雯承), Cameron Hsieh (陳翰宥), Quinn Ho (許婷安), Reese Huang (謝恩昱), Parker Tsai (郭宇品), Logan Su (郭涵雯)</t>
  </si>
  <si>
    <t>RNY_XFOM9 OBJECTIVE...</t>
  </si>
  <si>
    <t>RVB_化維介護台規 OY_EQD_Obhxad</t>
  </si>
  <si>
    <t>JB, KX</t>
  </si>
  <si>
    <t>RVB_化維介護台規 OY_EQD_Obhxad OBJECTIVE...</t>
  </si>
  <si>
    <t>Fihlvr zcj</t>
  </si>
  <si>
    <t>Cameron Peng (楊承品), Quinn Kuo (許雯承), Quinn Hsu (黃品涵), Parker Tsai (郭宇品), Parker Yang (王彥宥)</t>
  </si>
  <si>
    <t>Fihlvr zcj OBJECTIVE...</t>
  </si>
  <si>
    <t>Bbimol vapxpn</t>
  </si>
  <si>
    <t>Bbimol vapxpn OBJECTIVE...</t>
  </si>
  <si>
    <t>Otsifx IRXT</t>
  </si>
  <si>
    <t>Quinn Kuo (許雯承), Quinn Hsu (黃品涵), Parker Tsai (郭宇品), Parker Yang (王彥宥)</t>
  </si>
  <si>
    <t>Otsifx IRXT OBJECTIVE...</t>
  </si>
  <si>
    <t>FSV-9011_ffqcnu</t>
  </si>
  <si>
    <t>FSV-9011_ffqcnu OBJECTIVE...</t>
  </si>
  <si>
    <t>Rxpav雲分端測</t>
  </si>
  <si>
    <t>Skyler Peng (方承恩)</t>
  </si>
  <si>
    <t>Reese Yang (陳翰珊), Logan Huang (郭宇沛), Reese Chou (張庭穎), Skyler Peng (方承恩), Jordan Yeh (方承哲), Emerson Liu (王珊潔), Rowan Fang (鄭穎瑄)</t>
  </si>
  <si>
    <t>Rxpav雲分端測 OBJECTIVE...</t>
  </si>
  <si>
    <t>Kuhiukomalbk作智務 Upsuxysn</t>
  </si>
  <si>
    <t>Kuhiukomalbk作智務 Upsuxysn OBJECTIVE...</t>
  </si>
  <si>
    <t>DJQ 7g Hamtxcf</t>
  </si>
  <si>
    <t>DJQ 7g Hamtxcf OBJECTIVE...</t>
  </si>
  <si>
    <t>LWM S510-OB WC</t>
  </si>
  <si>
    <t>LWM S510-OB WC OBJECTIVE...</t>
  </si>
  <si>
    <t>VTO Sqequt AD Clx Ntqfd</t>
  </si>
  <si>
    <t>Drew Ho (許彥彥), Quinn Kuo (許雯承), Cameron Hsieh (陳翰宥)</t>
  </si>
  <si>
    <t>VTO Sqequt AD Clx Ntqfd OBJECTIVE...</t>
  </si>
  <si>
    <t>DXG Ctxcp BZ Qrpmoj</t>
  </si>
  <si>
    <t>DXG Ctxcp BZ Qrpmoj OBJECTIVE...</t>
  </si>
  <si>
    <t>ZST 證驗分維</t>
  </si>
  <si>
    <t>Cameron Hsieh (謝珊宇), Cameron Chou (吳潔潔), Casey Yang (林萱子)</t>
  </si>
  <si>
    <t>ZST 證驗分維 OBJECTIVE...</t>
  </si>
  <si>
    <t>ZXE_NV_IOY</t>
  </si>
  <si>
    <t>ZXE_NV_IOY OBJECTIVE...</t>
  </si>
  <si>
    <t>DRA_Yhfaumfzlt_FCH_iuflqg</t>
  </si>
  <si>
    <t>DRA_Yhfaumfzlt_FCH_iuflqg OBJECTIVE...</t>
  </si>
  <si>
    <t>DLX_UYS_HHA</t>
  </si>
  <si>
    <t>DLX_UYS_HHA OBJECTIVE...</t>
  </si>
  <si>
    <t>GQ/LN EJ 算端計策導規</t>
  </si>
  <si>
    <t>Logan Hsu (楊瑄品)</t>
  </si>
  <si>
    <t>Kai Yang (楊子承), Emerson Chen (郭萱雯), Skyler Peng (林辰昱), Reese Yang (陳翰珊), Jamie Lin (林宇翰), Logan Huang (郭宇沛), Jamie Chen (陳雯涵), Reese Chou (張庭穎), Cameron Lu (劉承哲), Morgan Chen (蔡辰承), Skyler Peng (方承恩), Jordan Yeh (方承哲), Jordan Chang (陳涵沛), Rowan Fang (鄭穎瑄), Logan Hsu (楊瑄品), Cameron Peng (彭宥婷), Alex Chang (李雯昱)</t>
  </si>
  <si>
    <t>GQ/LN EJ 算端計策導規 OBJECTIVE...</t>
  </si>
  <si>
    <t>DCV 35計組</t>
  </si>
  <si>
    <t>Cameron Hsieh (謝珊宇), Alex Peng (葉哲承), Cameron Hsieh (陳翰宥), Quinn Ho (許婷安), Cameron Chou (吳潔潔), Parker Tsai (郭宇品)</t>
  </si>
  <si>
    <t>DCV 35計組 OBJECTIVE...</t>
  </si>
  <si>
    <t>AFE 3224 CCEAOE</t>
  </si>
  <si>
    <t>Rowan Liu (許瑜翰), Cameron Hsieh (謝珊宇), Alex Peng (葉哲承), Cameron Hsieh (陳翰宥), Quinn Ho (許婷安), Taylor Wang (郭承妤), Cameron Chou (吳潔潔), Alex Chen (楊萱妤), Parker Peng (劉珊萱), Casey Yang (林萱子), Taylor Tsai (張宇瑜)</t>
  </si>
  <si>
    <t>AFE 3224 CCEAOE OBJECTIVE...</t>
  </si>
  <si>
    <t>QAR gxitzb</t>
  </si>
  <si>
    <t>QAR gxitzb OBJECTIVE...</t>
  </si>
  <si>
    <t>RGN HXE 架策</t>
  </si>
  <si>
    <t>Casey Ho (郭沛恩), Cameron Hsieh (謝珊宇), Drew Ho (許彥彥)</t>
  </si>
  <si>
    <t>RGN HXE 架策 OBJECTIVE...</t>
  </si>
  <si>
    <t>DEG_EJP-HTTUFQ-CAC1138-Q39Y-91um-OMDBGYIWALU_INB_Bndsxi</t>
  </si>
  <si>
    <t>DEG_EJP-HTTUFQ-CAC1138-Q39Y-91um-OMDBGYIWALU_INB_Bndsxi OBJECTIVE...</t>
  </si>
  <si>
    <t>FSF-HEC_6855</t>
  </si>
  <si>
    <t>FSF-HEC_6855 OBJECTIVE...</t>
  </si>
  <si>
    <t>Rcxnxwo Zithvezoe</t>
  </si>
  <si>
    <t>Jordan Chang (陳涵沛)</t>
  </si>
  <si>
    <t>Drew Wu (周昱彥), Logan Huang (郭宇沛), Jamie Chen (陳雯涵), Jordan Yeh (方承哲), Emerson Liu (王珊潔), Jordan Chang (陳涵沛), Rowan Fang (鄭穎瑄)</t>
  </si>
  <si>
    <t>Rcxnxwo Zithvezoe OBJECTIVE...</t>
  </si>
  <si>
    <t>Tgzqhbfqo 0</t>
  </si>
  <si>
    <t>Emerson Wang (葉婷安), Alex Kuo (陳甯婷), Jordan Wang (周子瑜), Cameron Peng (謝宥涵)</t>
  </si>
  <si>
    <t>Tgzqhbfqo 0 OBJECTIVE...</t>
  </si>
  <si>
    <t>IAGF7 Lftvxkl</t>
  </si>
  <si>
    <t>Kendall Lee (許涵沛), Drew Ho (許彥彥), Cameron Peng (楊承品), Quinn Kuo (許雯承), Logan Ho (劉瑜涵), Casey Yang (林萱子)</t>
  </si>
  <si>
    <t>IAGF7 Lftvxkl OBJECTIVE...</t>
  </si>
  <si>
    <t>K58料驗面流</t>
  </si>
  <si>
    <t>Cameron Hsieh (謝珊宇), Alex Peng (葉哲承), Cameron Hsieh (陳翰宥), Quinn Ho (許婷安)</t>
  </si>
  <si>
    <t>K58料驗面流 OBJECTIVE...</t>
  </si>
  <si>
    <t>Ohdlibdlc OK940 Immd tpiscuv</t>
  </si>
  <si>
    <t>Quinn Ho (許婷安), Parker Tsai (郭宇品)</t>
  </si>
  <si>
    <t>Ohdlibdlc OK940 Immd tpiscuv OBJECTIVE...</t>
  </si>
  <si>
    <t>導入務台化組平</t>
  </si>
  <si>
    <t>Cameron Peng (楊承品), Quinn Kuo (許雯承), Logan Su (郭涵雯)</t>
  </si>
  <si>
    <t>導入務台化組平 OBJECTIVE...</t>
  </si>
  <si>
    <t>整化合4.4 vxmr ozchhk</t>
  </si>
  <si>
    <t>整化合4.4 vxmr ozchhk OBJECTIVE...</t>
  </si>
  <si>
    <t>程化察架(Yefnzvmi)</t>
  </si>
  <si>
    <t>Riley Wang (彭庭昱)</t>
  </si>
  <si>
    <t>Kai Yang, Avery Peng (吳恩宇), Alex Peng, Emerson Wu, Hayden Chang, Riley Wang (彭庭昱)</t>
  </si>
  <si>
    <t>程化察架(Yefnzvmi) OBJECTIVE...</t>
  </si>
  <si>
    <t>模略雲計(Niaq Aefcwbt)</t>
  </si>
  <si>
    <t>模略雲計(Niaq Aefcwbt) OBJECTIVE...</t>
  </si>
  <si>
    <t>略整資</t>
  </si>
  <si>
    <t>Emerson Chen (郭萱雯), Jamie Chen (陳雯涵), Rowan Chang (謝恩辰), Reese Chou (張庭穎), Quinn Hsieh (許沛翰), Emerson Liu (王珊潔), Reese Huang (謝恩昱), Parker Kuo (周沛翰), Alex Chang (李雯昱)</t>
  </si>
  <si>
    <t>略整資 OBJECTIVE...</t>
  </si>
  <si>
    <t>整驗(Ylrxj)</t>
  </si>
  <si>
    <t>整驗(Ylrxj) OBJECTIVE...</t>
  </si>
  <si>
    <t>策驗服析證台</t>
  </si>
  <si>
    <t>策驗服析證台 OBJECTIVE...</t>
  </si>
  <si>
    <t>End</t>
  </si>
  <si>
    <t>Total</t>
  </si>
  <si>
    <t>MBDC-ADS</t>
  </si>
  <si>
    <t>MBDC-CMF</t>
  </si>
  <si>
    <t>MBDC-HFDR</t>
  </si>
  <si>
    <t>MBDC-ID</t>
  </si>
  <si>
    <t>MBDC-UX</t>
  </si>
  <si>
    <t>MBDC-VCPD</t>
  </si>
  <si>
    <t>assistant management system</t>
  </si>
  <si>
    <t>MEMBERS LIST</t>
  </si>
  <si>
    <t>Riley Wang (彭庭昱)</t>
    <phoneticPr fontId="1" type="noConversion"/>
  </si>
  <si>
    <t>Logan Chou (吳翰恩)</t>
    <phoneticPr fontId="1" type="noConversion"/>
  </si>
  <si>
    <t>Cameron Chou (吳潔潔)</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</si>
</sst>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h:mm:ss"/>
  </numFmts>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76" fontId="0" fillId="0" borderId="0" xfId="0" applyNumberFormat="1"/>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1"/>
  <sheetViews>
    <sheetView tabSelected="1" workbookViewId="0">
      <selection activeCell="K6" sqref="K6"/>
    </sheetView>
  </sheetViews>
  <sheetFormatPr defaultRowHeight="14.5" x14ac:dyDescent="0.3"/>
  <cols>
    <col min="1" max="1" width="32" customWidth="1"/>
    <col min="2" max="2" width="25.59765625" customWidth="1"/>
    <col min="3" max="3" width="45.8984375" customWidth="1"/>
    <col min="5" max="5" width="11.09765625" customWidth="1"/>
    <col min="6" max="6" width="11.69921875" customWidth="1"/>
  </cols>
  <sheetData>
    <row r="1" spans="1:11" x14ac:dyDescent="0.3">
      <c r="A1" t="s">
        <v>0</v>
      </c>
    </row>
    <row r="2" spans="1:11" x14ac:dyDescent="0.3">
      <c r="A2" t="s">
        <v>1</v>
      </c>
    </row>
    <row r="3" spans="1:11" x14ac:dyDescent="0.3">
      <c r="A3" t="s">
        <v>2</v>
      </c>
      <c r="B3" t="s">
        <v>3</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70" si="0">J7/$J$221</f>
        <v>0</v>
      </c>
    </row>
    <row r="8" spans="1:11" x14ac:dyDescent="0.3">
      <c r="A8" t="s">
        <v>18</v>
      </c>
      <c r="B8" t="s">
        <v>19</v>
      </c>
      <c r="C8" t="s">
        <v>20</v>
      </c>
      <c r="D8" t="s">
        <v>21</v>
      </c>
      <c r="E8" s="1">
        <v>45194</v>
      </c>
      <c r="F8" s="1">
        <v>46087</v>
      </c>
      <c r="G8" t="s">
        <v>22</v>
      </c>
      <c r="H8" t="s">
        <v>23</v>
      </c>
      <c r="J8">
        <v>2</v>
      </c>
      <c r="K8">
        <f t="shared" si="0"/>
        <v>9.1667430561921345E-4</v>
      </c>
    </row>
    <row r="9" spans="1:11" x14ac:dyDescent="0.3">
      <c r="A9" t="s">
        <v>24</v>
      </c>
      <c r="B9" t="s">
        <v>19</v>
      </c>
      <c r="C9" t="s">
        <v>25</v>
      </c>
      <c r="D9" t="s">
        <v>26</v>
      </c>
      <c r="E9" s="1">
        <v>45737</v>
      </c>
      <c r="F9" s="1">
        <v>46022</v>
      </c>
      <c r="G9" t="s">
        <v>27</v>
      </c>
      <c r="H9" t="s">
        <v>23</v>
      </c>
      <c r="J9">
        <v>3</v>
      </c>
      <c r="K9">
        <f t="shared" si="0"/>
        <v>1.3750114584288201E-3</v>
      </c>
    </row>
    <row r="10" spans="1:11" x14ac:dyDescent="0.3">
      <c r="A10" t="s">
        <v>28</v>
      </c>
      <c r="B10" t="s">
        <v>19</v>
      </c>
      <c r="C10" t="s">
        <v>29</v>
      </c>
      <c r="D10" t="s">
        <v>26</v>
      </c>
      <c r="E10" s="1">
        <v>45670</v>
      </c>
      <c r="F10" s="1">
        <v>46022</v>
      </c>
      <c r="G10" t="s">
        <v>30</v>
      </c>
      <c r="H10" t="s">
        <v>23</v>
      </c>
      <c r="J10">
        <v>0</v>
      </c>
      <c r="K10">
        <f t="shared" si="0"/>
        <v>0</v>
      </c>
    </row>
    <row r="11" spans="1:11" x14ac:dyDescent="0.3">
      <c r="A11" t="s">
        <v>31</v>
      </c>
      <c r="B11" t="s">
        <v>19</v>
      </c>
      <c r="C11" t="s">
        <v>32</v>
      </c>
      <c r="D11" t="s">
        <v>26</v>
      </c>
      <c r="E11" s="1">
        <v>45733</v>
      </c>
      <c r="F11" s="1">
        <v>46022</v>
      </c>
      <c r="G11" t="s">
        <v>33</v>
      </c>
      <c r="H11" t="s">
        <v>23</v>
      </c>
      <c r="J11">
        <v>1</v>
      </c>
      <c r="K11">
        <f t="shared" si="0"/>
        <v>4.5833715280960672E-4</v>
      </c>
    </row>
    <row r="12" spans="1:11" x14ac:dyDescent="0.3">
      <c r="A12" t="s">
        <v>34</v>
      </c>
      <c r="B12" t="s">
        <v>19</v>
      </c>
      <c r="C12" t="s">
        <v>20</v>
      </c>
      <c r="D12" t="s">
        <v>26</v>
      </c>
      <c r="E12" s="1">
        <v>45607</v>
      </c>
      <c r="F12" s="1">
        <v>45869</v>
      </c>
      <c r="G12" t="s">
        <v>35</v>
      </c>
      <c r="H12" t="s">
        <v>23</v>
      </c>
      <c r="J12">
        <v>0</v>
      </c>
      <c r="K12">
        <f t="shared" si="0"/>
        <v>0</v>
      </c>
    </row>
    <row r="13" spans="1:11" x14ac:dyDescent="0.3">
      <c r="A13" t="s">
        <v>36</v>
      </c>
      <c r="B13" t="s">
        <v>19</v>
      </c>
      <c r="C13" t="s">
        <v>37</v>
      </c>
      <c r="D13" t="s">
        <v>38</v>
      </c>
      <c r="E13" s="1">
        <v>45565</v>
      </c>
      <c r="F13" s="1">
        <v>45900</v>
      </c>
      <c r="G13" t="s">
        <v>39</v>
      </c>
      <c r="H13" t="s">
        <v>23</v>
      </c>
      <c r="J13">
        <v>0</v>
      </c>
      <c r="K13">
        <f t="shared" si="0"/>
        <v>0</v>
      </c>
    </row>
    <row r="14" spans="1:11" x14ac:dyDescent="0.3">
      <c r="A14" t="s">
        <v>40</v>
      </c>
      <c r="B14" t="s">
        <v>19</v>
      </c>
      <c r="C14" t="s">
        <v>41</v>
      </c>
      <c r="D14" t="s">
        <v>38</v>
      </c>
      <c r="E14" s="1">
        <v>45824</v>
      </c>
      <c r="F14" s="1">
        <v>46063</v>
      </c>
      <c r="G14" t="s">
        <v>42</v>
      </c>
      <c r="H14" t="s">
        <v>23</v>
      </c>
      <c r="J14">
        <v>20.5</v>
      </c>
      <c r="K14">
        <f t="shared" si="0"/>
        <v>9.3959116325969382E-3</v>
      </c>
    </row>
    <row r="15" spans="1:11" x14ac:dyDescent="0.3">
      <c r="A15" t="s">
        <v>43</v>
      </c>
      <c r="B15" t="s">
        <v>44</v>
      </c>
      <c r="C15" t="s">
        <v>45</v>
      </c>
      <c r="D15" t="s">
        <v>46</v>
      </c>
      <c r="E15" s="1">
        <v>45547</v>
      </c>
      <c r="F15" s="1">
        <v>45991</v>
      </c>
      <c r="G15" t="s">
        <v>47</v>
      </c>
      <c r="H15" t="s">
        <v>23</v>
      </c>
      <c r="J15">
        <v>3</v>
      </c>
      <c r="K15">
        <f t="shared" si="0"/>
        <v>1.3750114584288201E-3</v>
      </c>
    </row>
    <row r="16" spans="1:11" x14ac:dyDescent="0.3">
      <c r="A16" t="s">
        <v>48</v>
      </c>
      <c r="B16" t="s">
        <v>49</v>
      </c>
      <c r="C16" t="s">
        <v>49</v>
      </c>
      <c r="D16" t="s">
        <v>46</v>
      </c>
      <c r="E16" s="1">
        <v>45658</v>
      </c>
      <c r="F16" s="1">
        <v>46023</v>
      </c>
      <c r="G16" t="s">
        <v>50</v>
      </c>
      <c r="H16" t="s">
        <v>23</v>
      </c>
      <c r="J16">
        <v>0</v>
      </c>
      <c r="K16">
        <f t="shared" si="0"/>
        <v>0</v>
      </c>
    </row>
    <row r="17" spans="1:11" x14ac:dyDescent="0.3">
      <c r="A17" t="s">
        <v>51</v>
      </c>
      <c r="B17" t="s">
        <v>49</v>
      </c>
      <c r="C17" t="s">
        <v>49</v>
      </c>
      <c r="D17" t="s">
        <v>46</v>
      </c>
      <c r="E17" s="1">
        <v>45658</v>
      </c>
      <c r="F17" s="1">
        <v>46038</v>
      </c>
      <c r="G17" t="s">
        <v>52</v>
      </c>
      <c r="H17" t="s">
        <v>23</v>
      </c>
      <c r="J17">
        <v>0</v>
      </c>
      <c r="K17">
        <f t="shared" si="0"/>
        <v>0</v>
      </c>
    </row>
    <row r="18" spans="1:11" x14ac:dyDescent="0.3">
      <c r="A18" t="s">
        <v>53</v>
      </c>
      <c r="B18" t="s">
        <v>54</v>
      </c>
      <c r="C18" t="s">
        <v>55</v>
      </c>
      <c r="D18" t="s">
        <v>56</v>
      </c>
      <c r="E18" s="1">
        <v>45658</v>
      </c>
      <c r="F18" s="1">
        <v>46387</v>
      </c>
      <c r="G18" t="s">
        <v>57</v>
      </c>
      <c r="H18" t="s">
        <v>23</v>
      </c>
      <c r="J18">
        <v>79</v>
      </c>
      <c r="K18">
        <f t="shared" si="0"/>
        <v>3.6208635071958928E-2</v>
      </c>
    </row>
    <row r="19" spans="1:11" x14ac:dyDescent="0.3">
      <c r="A19" t="s">
        <v>58</v>
      </c>
      <c r="B19" t="s">
        <v>54</v>
      </c>
      <c r="C19" t="s">
        <v>59</v>
      </c>
      <c r="D19" t="s">
        <v>56</v>
      </c>
      <c r="E19" s="1">
        <v>45658</v>
      </c>
      <c r="F19" s="1">
        <v>46089</v>
      </c>
      <c r="G19" t="s">
        <v>60</v>
      </c>
      <c r="H19" t="s">
        <v>23</v>
      </c>
      <c r="J19">
        <v>63</v>
      </c>
      <c r="K19">
        <f t="shared" si="0"/>
        <v>2.8875240627005222E-2</v>
      </c>
    </row>
    <row r="20" spans="1:11" x14ac:dyDescent="0.3">
      <c r="A20" t="s">
        <v>61</v>
      </c>
      <c r="B20" t="s">
        <v>62</v>
      </c>
      <c r="C20" t="s">
        <v>63</v>
      </c>
      <c r="D20" t="s">
        <v>64</v>
      </c>
      <c r="E20" s="1">
        <v>45740</v>
      </c>
      <c r="F20" s="1">
        <v>46049</v>
      </c>
      <c r="G20" t="s">
        <v>65</v>
      </c>
      <c r="H20" t="s">
        <v>23</v>
      </c>
      <c r="J20">
        <v>0</v>
      </c>
      <c r="K20">
        <f t="shared" si="0"/>
        <v>0</v>
      </c>
    </row>
    <row r="21" spans="1:11" x14ac:dyDescent="0.3">
      <c r="A21" t="s">
        <v>66</v>
      </c>
      <c r="B21" t="s">
        <v>49</v>
      </c>
      <c r="C21" t="s">
        <v>67</v>
      </c>
      <c r="D21" t="s">
        <v>46</v>
      </c>
      <c r="E21" s="1">
        <v>45859</v>
      </c>
      <c r="F21" s="1">
        <v>45877</v>
      </c>
      <c r="G21" t="s">
        <v>68</v>
      </c>
      <c r="H21" t="s">
        <v>23</v>
      </c>
      <c r="J21">
        <v>0</v>
      </c>
      <c r="K21">
        <f t="shared" si="0"/>
        <v>0</v>
      </c>
    </row>
    <row r="22" spans="1:11" x14ac:dyDescent="0.3">
      <c r="A22" t="s">
        <v>69</v>
      </c>
      <c r="B22" t="s">
        <v>70</v>
      </c>
      <c r="C22" t="s">
        <v>71</v>
      </c>
      <c r="D22" t="s">
        <v>21</v>
      </c>
      <c r="E22" s="1">
        <v>45754</v>
      </c>
      <c r="F22" s="1">
        <v>46053</v>
      </c>
      <c r="G22" t="s">
        <v>72</v>
      </c>
      <c r="H22" t="s">
        <v>23</v>
      </c>
      <c r="J22">
        <v>1.2</v>
      </c>
      <c r="K22">
        <f t="shared" si="0"/>
        <v>5.5000458337152805E-4</v>
      </c>
    </row>
    <row r="23" spans="1:11" x14ac:dyDescent="0.3">
      <c r="A23" t="s">
        <v>73</v>
      </c>
      <c r="B23" t="s">
        <v>70</v>
      </c>
      <c r="C23" t="s">
        <v>71</v>
      </c>
      <c r="D23" t="s">
        <v>21</v>
      </c>
      <c r="E23" s="1">
        <v>45754</v>
      </c>
      <c r="F23" s="1">
        <v>46142</v>
      </c>
      <c r="G23" t="s">
        <v>74</v>
      </c>
      <c r="H23" t="s">
        <v>23</v>
      </c>
      <c r="J23">
        <v>1.3</v>
      </c>
      <c r="K23">
        <f t="shared" si="0"/>
        <v>5.9583829865248871E-4</v>
      </c>
    </row>
    <row r="24" spans="1:11" x14ac:dyDescent="0.3">
      <c r="A24" t="s">
        <v>75</v>
      </c>
      <c r="B24" t="s">
        <v>76</v>
      </c>
      <c r="C24" t="s">
        <v>77</v>
      </c>
      <c r="D24" t="s">
        <v>78</v>
      </c>
      <c r="E24" s="1">
        <v>45509</v>
      </c>
      <c r="F24" s="1">
        <v>46203</v>
      </c>
      <c r="G24" t="s">
        <v>79</v>
      </c>
      <c r="H24" t="s">
        <v>23</v>
      </c>
      <c r="J24">
        <v>60</v>
      </c>
      <c r="K24">
        <f t="shared" si="0"/>
        <v>2.7500229168576404E-2</v>
      </c>
    </row>
    <row r="25" spans="1:11" x14ac:dyDescent="0.3">
      <c r="A25" t="s">
        <v>80</v>
      </c>
      <c r="B25" t="s">
        <v>81</v>
      </c>
      <c r="C25" t="s">
        <v>82</v>
      </c>
      <c r="D25" t="s">
        <v>46</v>
      </c>
      <c r="E25" s="1">
        <v>45670</v>
      </c>
      <c r="F25" s="1">
        <v>46387</v>
      </c>
      <c r="G25" t="s">
        <v>83</v>
      </c>
      <c r="H25" t="s">
        <v>23</v>
      </c>
      <c r="J25">
        <v>17</v>
      </c>
      <c r="K25">
        <f t="shared" si="0"/>
        <v>7.7917315977633142E-3</v>
      </c>
    </row>
    <row r="26" spans="1:11" x14ac:dyDescent="0.3">
      <c r="A26" t="s">
        <v>84</v>
      </c>
      <c r="B26" t="s">
        <v>85</v>
      </c>
      <c r="C26" t="s">
        <v>86</v>
      </c>
      <c r="D26" t="s">
        <v>78</v>
      </c>
      <c r="E26" s="1">
        <v>45839</v>
      </c>
      <c r="F26" s="1">
        <v>46234</v>
      </c>
      <c r="G26" t="s">
        <v>87</v>
      </c>
      <c r="H26" t="s">
        <v>23</v>
      </c>
      <c r="J26">
        <v>0</v>
      </c>
      <c r="K26">
        <f t="shared" si="0"/>
        <v>0</v>
      </c>
    </row>
    <row r="27" spans="1:11" x14ac:dyDescent="0.3">
      <c r="A27" t="s">
        <v>88</v>
      </c>
      <c r="B27" t="s">
        <v>85</v>
      </c>
      <c r="C27" t="s">
        <v>89</v>
      </c>
      <c r="D27" t="s">
        <v>78</v>
      </c>
      <c r="E27" s="1">
        <v>45509</v>
      </c>
      <c r="F27" s="1">
        <v>46112</v>
      </c>
      <c r="G27" t="s">
        <v>90</v>
      </c>
      <c r="H27" t="s">
        <v>23</v>
      </c>
      <c r="J27">
        <v>4</v>
      </c>
      <c r="K27">
        <f t="shared" si="0"/>
        <v>1.8333486112384269E-3</v>
      </c>
    </row>
    <row r="28" spans="1:11" x14ac:dyDescent="0.3">
      <c r="A28" t="s">
        <v>91</v>
      </c>
      <c r="B28" t="s">
        <v>81</v>
      </c>
      <c r="C28" t="s">
        <v>92</v>
      </c>
      <c r="D28" t="s">
        <v>46</v>
      </c>
      <c r="E28" s="1">
        <v>45110</v>
      </c>
      <c r="F28" s="1">
        <v>46022</v>
      </c>
      <c r="G28" t="s">
        <v>93</v>
      </c>
      <c r="H28" t="s">
        <v>23</v>
      </c>
      <c r="J28">
        <v>1</v>
      </c>
      <c r="K28">
        <f t="shared" si="0"/>
        <v>4.5833715280960672E-4</v>
      </c>
    </row>
    <row r="29" spans="1:11" x14ac:dyDescent="0.3">
      <c r="A29" t="s">
        <v>94</v>
      </c>
      <c r="B29" t="s">
        <v>95</v>
      </c>
      <c r="C29" t="s">
        <v>96</v>
      </c>
      <c r="D29" t="s">
        <v>97</v>
      </c>
      <c r="E29" s="1">
        <v>45558</v>
      </c>
      <c r="F29" s="1">
        <v>46086</v>
      </c>
      <c r="G29" t="s">
        <v>98</v>
      </c>
      <c r="H29" t="s">
        <v>23</v>
      </c>
      <c r="J29">
        <v>26</v>
      </c>
      <c r="K29">
        <f t="shared" si="0"/>
        <v>1.1916765973049774E-2</v>
      </c>
    </row>
    <row r="30" spans="1:11" x14ac:dyDescent="0.3">
      <c r="A30" t="s">
        <v>99</v>
      </c>
      <c r="B30" t="s">
        <v>95</v>
      </c>
      <c r="C30" t="s">
        <v>100</v>
      </c>
      <c r="D30" t="s">
        <v>101</v>
      </c>
      <c r="E30" s="1">
        <v>45565</v>
      </c>
      <c r="F30" s="1">
        <v>46084</v>
      </c>
      <c r="G30" t="s">
        <v>102</v>
      </c>
      <c r="H30" t="s">
        <v>23</v>
      </c>
      <c r="J30">
        <v>7</v>
      </c>
      <c r="K30">
        <f t="shared" si="0"/>
        <v>3.2083600696672472E-3</v>
      </c>
    </row>
    <row r="31" spans="1:11" x14ac:dyDescent="0.3">
      <c r="A31" t="s">
        <v>103</v>
      </c>
      <c r="B31" t="s">
        <v>104</v>
      </c>
      <c r="C31" t="s">
        <v>104</v>
      </c>
      <c r="D31" t="s">
        <v>46</v>
      </c>
      <c r="E31" s="1">
        <v>45838</v>
      </c>
      <c r="F31" s="1">
        <v>46013</v>
      </c>
      <c r="G31" t="s">
        <v>105</v>
      </c>
      <c r="H31" t="s">
        <v>23</v>
      </c>
      <c r="J31">
        <v>0</v>
      </c>
      <c r="K31">
        <f t="shared" si="0"/>
        <v>0</v>
      </c>
    </row>
    <row r="32" spans="1:11" x14ac:dyDescent="0.3">
      <c r="A32" t="s">
        <v>106</v>
      </c>
      <c r="B32" t="s">
        <v>107</v>
      </c>
      <c r="C32" t="s">
        <v>107</v>
      </c>
      <c r="D32" t="s">
        <v>10</v>
      </c>
      <c r="E32" s="1">
        <v>45698</v>
      </c>
      <c r="F32" s="1">
        <v>46387</v>
      </c>
      <c r="G32" t="s">
        <v>108</v>
      </c>
      <c r="H32" t="s">
        <v>23</v>
      </c>
      <c r="J32">
        <v>0</v>
      </c>
      <c r="K32">
        <f t="shared" si="0"/>
        <v>0</v>
      </c>
    </row>
    <row r="33" spans="1:11" x14ac:dyDescent="0.3">
      <c r="A33" t="s">
        <v>109</v>
      </c>
      <c r="B33" t="s">
        <v>110</v>
      </c>
      <c r="C33" t="s">
        <v>111</v>
      </c>
      <c r="D33" t="s">
        <v>21</v>
      </c>
      <c r="E33" s="1">
        <v>45733</v>
      </c>
      <c r="F33" s="1">
        <v>46022</v>
      </c>
      <c r="G33" t="s">
        <v>112</v>
      </c>
      <c r="H33" t="s">
        <v>23</v>
      </c>
      <c r="J33">
        <v>28</v>
      </c>
      <c r="K33">
        <f t="shared" si="0"/>
        <v>1.2833440278668989E-2</v>
      </c>
    </row>
    <row r="34" spans="1:11" x14ac:dyDescent="0.3">
      <c r="A34" t="s">
        <v>113</v>
      </c>
      <c r="B34" t="s">
        <v>114</v>
      </c>
      <c r="C34" t="s">
        <v>115</v>
      </c>
      <c r="D34" t="s">
        <v>21</v>
      </c>
      <c r="E34" s="1">
        <v>45845</v>
      </c>
      <c r="F34" s="1">
        <v>46077</v>
      </c>
      <c r="G34" t="s">
        <v>116</v>
      </c>
      <c r="H34" t="s">
        <v>23</v>
      </c>
      <c r="J34">
        <v>16</v>
      </c>
      <c r="K34">
        <f t="shared" si="0"/>
        <v>7.3333944449537076E-3</v>
      </c>
    </row>
    <row r="35" spans="1:11" x14ac:dyDescent="0.3">
      <c r="A35" t="s">
        <v>117</v>
      </c>
      <c r="B35" t="s">
        <v>19</v>
      </c>
      <c r="C35" t="s">
        <v>118</v>
      </c>
      <c r="D35" t="s">
        <v>10</v>
      </c>
      <c r="E35" s="1">
        <v>45621</v>
      </c>
      <c r="F35" s="1">
        <v>46234</v>
      </c>
      <c r="G35" t="s">
        <v>119</v>
      </c>
      <c r="H35" t="s">
        <v>23</v>
      </c>
      <c r="J35">
        <v>90</v>
      </c>
      <c r="K35">
        <f t="shared" si="0"/>
        <v>4.1250343752864606E-2</v>
      </c>
    </row>
    <row r="36" spans="1:11" x14ac:dyDescent="0.3">
      <c r="A36" t="s">
        <v>120</v>
      </c>
      <c r="B36" t="s">
        <v>76</v>
      </c>
      <c r="C36" t="s">
        <v>121</v>
      </c>
      <c r="D36" t="s">
        <v>10</v>
      </c>
      <c r="E36" s="1">
        <v>45733</v>
      </c>
      <c r="F36" s="1">
        <v>46234</v>
      </c>
      <c r="G36" t="s">
        <v>122</v>
      </c>
      <c r="H36" t="s">
        <v>23</v>
      </c>
      <c r="J36">
        <v>0</v>
      </c>
      <c r="K36">
        <f t="shared" si="0"/>
        <v>0</v>
      </c>
    </row>
    <row r="37" spans="1:11" x14ac:dyDescent="0.3">
      <c r="A37" t="s">
        <v>123</v>
      </c>
      <c r="B37" t="s">
        <v>124</v>
      </c>
      <c r="C37" t="s">
        <v>125</v>
      </c>
      <c r="D37" t="s">
        <v>126</v>
      </c>
      <c r="E37" s="1">
        <v>45166</v>
      </c>
      <c r="F37" s="1">
        <v>46078</v>
      </c>
      <c r="G37" t="s">
        <v>127</v>
      </c>
      <c r="H37" t="s">
        <v>23</v>
      </c>
      <c r="J37">
        <v>8</v>
      </c>
      <c r="K37">
        <f t="shared" si="0"/>
        <v>3.6666972224768538E-3</v>
      </c>
    </row>
    <row r="38" spans="1:11" x14ac:dyDescent="0.3">
      <c r="A38" t="s">
        <v>128</v>
      </c>
      <c r="B38" t="s">
        <v>129</v>
      </c>
      <c r="C38" t="s">
        <v>130</v>
      </c>
      <c r="D38" t="s">
        <v>126</v>
      </c>
      <c r="E38" s="1">
        <v>44732</v>
      </c>
      <c r="F38" s="1">
        <v>45869</v>
      </c>
      <c r="G38" t="s">
        <v>131</v>
      </c>
      <c r="H38" t="s">
        <v>23</v>
      </c>
      <c r="J38">
        <v>1.5</v>
      </c>
      <c r="K38">
        <f t="shared" si="0"/>
        <v>6.8750572921441003E-4</v>
      </c>
    </row>
    <row r="39" spans="1:11" x14ac:dyDescent="0.3">
      <c r="A39" t="s">
        <v>132</v>
      </c>
      <c r="B39" t="s">
        <v>133</v>
      </c>
      <c r="C39" t="s">
        <v>134</v>
      </c>
      <c r="D39" t="s">
        <v>126</v>
      </c>
      <c r="E39" s="1">
        <v>45334</v>
      </c>
      <c r="F39" s="1">
        <v>46022</v>
      </c>
      <c r="G39" t="s">
        <v>135</v>
      </c>
      <c r="H39" t="s">
        <v>23</v>
      </c>
      <c r="J39">
        <v>0</v>
      </c>
      <c r="K39">
        <f t="shared" si="0"/>
        <v>0</v>
      </c>
    </row>
    <row r="40" spans="1:11" x14ac:dyDescent="0.3">
      <c r="A40" t="s">
        <v>136</v>
      </c>
      <c r="B40" t="s">
        <v>137</v>
      </c>
      <c r="C40" t="s">
        <v>138</v>
      </c>
      <c r="D40" t="s">
        <v>126</v>
      </c>
      <c r="E40" s="1">
        <v>45768</v>
      </c>
      <c r="F40" s="1">
        <v>46022</v>
      </c>
      <c r="G40" t="s">
        <v>139</v>
      </c>
      <c r="H40" t="s">
        <v>23</v>
      </c>
      <c r="J40">
        <v>0</v>
      </c>
      <c r="K40">
        <f t="shared" si="0"/>
        <v>0</v>
      </c>
    </row>
    <row r="41" spans="1:11" x14ac:dyDescent="0.3">
      <c r="A41" t="s">
        <v>140</v>
      </c>
      <c r="B41" t="s">
        <v>70</v>
      </c>
      <c r="C41" t="s">
        <v>71</v>
      </c>
      <c r="D41" t="s">
        <v>126</v>
      </c>
      <c r="E41" s="1">
        <v>45726</v>
      </c>
      <c r="F41" s="1">
        <v>45942</v>
      </c>
      <c r="G41" t="s">
        <v>141</v>
      </c>
      <c r="H41" t="s">
        <v>23</v>
      </c>
      <c r="J41">
        <v>2.2000000000000002</v>
      </c>
      <c r="K41">
        <f t="shared" si="0"/>
        <v>1.0083417361811348E-3</v>
      </c>
    </row>
    <row r="42" spans="1:11" x14ac:dyDescent="0.3">
      <c r="A42" t="s">
        <v>142</v>
      </c>
      <c r="B42" t="s">
        <v>85</v>
      </c>
      <c r="C42" t="s">
        <v>86</v>
      </c>
      <c r="D42" t="s">
        <v>126</v>
      </c>
      <c r="E42" s="1">
        <v>45789</v>
      </c>
      <c r="F42" s="1">
        <v>46142</v>
      </c>
      <c r="G42" t="s">
        <v>143</v>
      </c>
      <c r="H42" t="s">
        <v>23</v>
      </c>
      <c r="J42">
        <v>0</v>
      </c>
      <c r="K42">
        <f t="shared" si="0"/>
        <v>0</v>
      </c>
    </row>
    <row r="43" spans="1:11" x14ac:dyDescent="0.3">
      <c r="A43" t="s">
        <v>144</v>
      </c>
      <c r="B43" t="s">
        <v>110</v>
      </c>
      <c r="C43" t="s">
        <v>110</v>
      </c>
      <c r="D43" t="s">
        <v>21</v>
      </c>
      <c r="E43" s="1">
        <v>45817</v>
      </c>
      <c r="F43" s="1">
        <v>46079</v>
      </c>
      <c r="G43" t="s">
        <v>145</v>
      </c>
      <c r="H43" t="s">
        <v>23</v>
      </c>
      <c r="J43">
        <v>40</v>
      </c>
      <c r="K43">
        <f t="shared" si="0"/>
        <v>1.8333486112384268E-2</v>
      </c>
    </row>
    <row r="44" spans="1:11" x14ac:dyDescent="0.3">
      <c r="A44" t="s">
        <v>146</v>
      </c>
      <c r="B44" t="s">
        <v>147</v>
      </c>
      <c r="C44" t="s">
        <v>148</v>
      </c>
      <c r="D44" t="s">
        <v>149</v>
      </c>
      <c r="E44" s="1">
        <v>45817</v>
      </c>
      <c r="F44" s="1">
        <v>46112</v>
      </c>
      <c r="G44" t="s">
        <v>150</v>
      </c>
      <c r="H44" t="s">
        <v>23</v>
      </c>
      <c r="J44">
        <v>0</v>
      </c>
      <c r="K44">
        <f t="shared" si="0"/>
        <v>0</v>
      </c>
    </row>
    <row r="45" spans="1:11" x14ac:dyDescent="0.3">
      <c r="A45" t="s">
        <v>151</v>
      </c>
      <c r="B45" t="s">
        <v>152</v>
      </c>
      <c r="C45" t="s">
        <v>152</v>
      </c>
      <c r="D45" t="s">
        <v>153</v>
      </c>
      <c r="E45" s="1">
        <v>45607</v>
      </c>
      <c r="F45" s="1">
        <v>46022</v>
      </c>
      <c r="G45" t="s">
        <v>154</v>
      </c>
      <c r="H45" t="s">
        <v>23</v>
      </c>
      <c r="J45">
        <v>10</v>
      </c>
      <c r="K45">
        <f t="shared" si="0"/>
        <v>4.583371528096067E-3</v>
      </c>
    </row>
    <row r="46" spans="1:11" x14ac:dyDescent="0.3">
      <c r="A46" t="s">
        <v>155</v>
      </c>
      <c r="B46" t="s">
        <v>124</v>
      </c>
      <c r="C46" t="s">
        <v>156</v>
      </c>
      <c r="D46" t="s">
        <v>46</v>
      </c>
      <c r="E46" s="1">
        <v>45159</v>
      </c>
      <c r="F46" s="1">
        <v>46387</v>
      </c>
      <c r="G46" t="s">
        <v>157</v>
      </c>
      <c r="H46" t="s">
        <v>23</v>
      </c>
      <c r="J46">
        <v>8.5</v>
      </c>
      <c r="K46">
        <f t="shared" si="0"/>
        <v>3.8958657988816571E-3</v>
      </c>
    </row>
    <row r="47" spans="1:11" x14ac:dyDescent="0.3">
      <c r="A47" t="s">
        <v>158</v>
      </c>
      <c r="B47" t="s">
        <v>81</v>
      </c>
      <c r="C47" t="s">
        <v>82</v>
      </c>
      <c r="D47" t="s">
        <v>159</v>
      </c>
      <c r="E47" s="1">
        <v>45460</v>
      </c>
      <c r="F47" s="1">
        <v>46022</v>
      </c>
      <c r="G47" t="s">
        <v>160</v>
      </c>
      <c r="H47" t="s">
        <v>23</v>
      </c>
      <c r="J47">
        <v>0</v>
      </c>
      <c r="K47">
        <f t="shared" si="0"/>
        <v>0</v>
      </c>
    </row>
    <row r="48" spans="1:11" x14ac:dyDescent="0.3">
      <c r="A48" t="s">
        <v>161</v>
      </c>
      <c r="B48" t="s">
        <v>162</v>
      </c>
      <c r="C48" t="s">
        <v>162</v>
      </c>
      <c r="D48" t="s">
        <v>163</v>
      </c>
      <c r="E48" s="1">
        <v>45166</v>
      </c>
      <c r="F48" s="1">
        <v>46064</v>
      </c>
      <c r="G48" t="s">
        <v>164</v>
      </c>
      <c r="H48" t="s">
        <v>23</v>
      </c>
      <c r="J48">
        <v>14</v>
      </c>
      <c r="K48">
        <f t="shared" si="0"/>
        <v>6.4167201393344944E-3</v>
      </c>
    </row>
    <row r="49" spans="1:11" x14ac:dyDescent="0.3">
      <c r="A49" t="s">
        <v>165</v>
      </c>
      <c r="B49" t="s">
        <v>81</v>
      </c>
      <c r="C49" t="s">
        <v>166</v>
      </c>
      <c r="D49" t="s">
        <v>167</v>
      </c>
      <c r="E49" s="1">
        <v>45313</v>
      </c>
      <c r="F49" s="1">
        <v>46022</v>
      </c>
      <c r="G49" t="s">
        <v>168</v>
      </c>
      <c r="H49" t="s">
        <v>23</v>
      </c>
      <c r="J49">
        <v>0</v>
      </c>
      <c r="K49">
        <f t="shared" si="0"/>
        <v>0</v>
      </c>
    </row>
    <row r="50" spans="1:11" x14ac:dyDescent="0.3">
      <c r="A50" t="s">
        <v>169</v>
      </c>
      <c r="B50" t="s">
        <v>81</v>
      </c>
      <c r="C50" t="s">
        <v>170</v>
      </c>
      <c r="D50" t="s">
        <v>167</v>
      </c>
      <c r="E50" s="1">
        <v>45362</v>
      </c>
      <c r="F50" s="1">
        <v>46387</v>
      </c>
      <c r="G50" t="s">
        <v>171</v>
      </c>
      <c r="H50" t="s">
        <v>23</v>
      </c>
      <c r="J50">
        <v>0</v>
      </c>
      <c r="K50">
        <f t="shared" si="0"/>
        <v>0</v>
      </c>
    </row>
    <row r="51" spans="1:11" x14ac:dyDescent="0.3">
      <c r="A51" t="s">
        <v>172</v>
      </c>
      <c r="B51" t="s">
        <v>81</v>
      </c>
      <c r="C51" t="s">
        <v>82</v>
      </c>
      <c r="D51" t="s">
        <v>173</v>
      </c>
      <c r="E51" s="1">
        <v>45166</v>
      </c>
      <c r="F51" s="1">
        <v>46387</v>
      </c>
      <c r="G51" t="s">
        <v>174</v>
      </c>
      <c r="H51" t="s">
        <v>23</v>
      </c>
      <c r="J51">
        <v>0</v>
      </c>
      <c r="K51">
        <f t="shared" si="0"/>
        <v>0</v>
      </c>
    </row>
    <row r="52" spans="1:11" x14ac:dyDescent="0.3">
      <c r="A52" t="s">
        <v>175</v>
      </c>
      <c r="B52" t="s">
        <v>81</v>
      </c>
      <c r="C52" t="s">
        <v>82</v>
      </c>
      <c r="D52" t="s">
        <v>101</v>
      </c>
      <c r="E52" s="1">
        <v>45439</v>
      </c>
      <c r="F52" s="1">
        <v>46387</v>
      </c>
      <c r="G52" t="s">
        <v>176</v>
      </c>
      <c r="H52" t="s">
        <v>23</v>
      </c>
      <c r="J52">
        <v>9</v>
      </c>
      <c r="K52">
        <f t="shared" si="0"/>
        <v>4.1250343752864604E-3</v>
      </c>
    </row>
    <row r="53" spans="1:11" x14ac:dyDescent="0.3">
      <c r="A53" t="s">
        <v>177</v>
      </c>
      <c r="B53" t="s">
        <v>81</v>
      </c>
      <c r="C53" t="s">
        <v>170</v>
      </c>
      <c r="D53" t="s">
        <v>178</v>
      </c>
      <c r="E53" s="1">
        <v>45355</v>
      </c>
      <c r="F53" s="1">
        <v>46022</v>
      </c>
      <c r="G53" t="s">
        <v>179</v>
      </c>
      <c r="H53" t="s">
        <v>23</v>
      </c>
      <c r="J53">
        <v>1</v>
      </c>
      <c r="K53">
        <f t="shared" si="0"/>
        <v>4.5833715280960672E-4</v>
      </c>
    </row>
    <row r="54" spans="1:11" x14ac:dyDescent="0.3">
      <c r="A54" t="s">
        <v>180</v>
      </c>
      <c r="B54" t="s">
        <v>81</v>
      </c>
      <c r="C54" t="s">
        <v>166</v>
      </c>
      <c r="D54" t="s">
        <v>153</v>
      </c>
      <c r="E54" s="1">
        <v>45292</v>
      </c>
      <c r="F54" s="1">
        <v>46022</v>
      </c>
      <c r="G54" t="s">
        <v>181</v>
      </c>
      <c r="H54" t="s">
        <v>23</v>
      </c>
      <c r="J54">
        <v>0</v>
      </c>
      <c r="K54">
        <f t="shared" si="0"/>
        <v>0</v>
      </c>
    </row>
    <row r="55" spans="1:11" x14ac:dyDescent="0.3">
      <c r="A55" t="s">
        <v>182</v>
      </c>
      <c r="B55" t="s">
        <v>81</v>
      </c>
      <c r="C55" t="s">
        <v>82</v>
      </c>
      <c r="D55" t="s">
        <v>21</v>
      </c>
      <c r="E55" s="1">
        <v>45495</v>
      </c>
      <c r="F55" s="1">
        <v>46022</v>
      </c>
      <c r="G55" t="s">
        <v>183</v>
      </c>
      <c r="H55" t="s">
        <v>23</v>
      </c>
      <c r="J55">
        <v>0</v>
      </c>
      <c r="K55">
        <f t="shared" si="0"/>
        <v>0</v>
      </c>
    </row>
    <row r="56" spans="1:11" x14ac:dyDescent="0.3">
      <c r="A56" t="s">
        <v>184</v>
      </c>
      <c r="B56" t="s">
        <v>81</v>
      </c>
      <c r="C56" t="s">
        <v>170</v>
      </c>
      <c r="D56" t="s">
        <v>21</v>
      </c>
      <c r="E56" s="1">
        <v>45446</v>
      </c>
      <c r="F56" s="1">
        <v>46022</v>
      </c>
      <c r="G56" t="s">
        <v>185</v>
      </c>
      <c r="H56" t="s">
        <v>23</v>
      </c>
      <c r="J56">
        <v>0</v>
      </c>
      <c r="K56">
        <f t="shared" si="0"/>
        <v>0</v>
      </c>
    </row>
    <row r="57" spans="1:11" x14ac:dyDescent="0.3">
      <c r="A57" t="s">
        <v>186</v>
      </c>
      <c r="B57" t="s">
        <v>81</v>
      </c>
      <c r="C57" t="s">
        <v>92</v>
      </c>
      <c r="D57" t="s">
        <v>64</v>
      </c>
      <c r="E57" s="1">
        <v>45565</v>
      </c>
      <c r="F57" s="1">
        <v>46387</v>
      </c>
      <c r="G57" t="s">
        <v>187</v>
      </c>
      <c r="H57" t="s">
        <v>23</v>
      </c>
      <c r="J57">
        <v>0</v>
      </c>
      <c r="K57">
        <f t="shared" si="0"/>
        <v>0</v>
      </c>
    </row>
    <row r="58" spans="1:11" x14ac:dyDescent="0.3">
      <c r="A58" t="s">
        <v>188</v>
      </c>
      <c r="B58" t="s">
        <v>44</v>
      </c>
      <c r="C58" t="s">
        <v>189</v>
      </c>
      <c r="D58" t="s">
        <v>190</v>
      </c>
      <c r="E58" s="1">
        <v>45656</v>
      </c>
      <c r="F58" s="1">
        <v>46081</v>
      </c>
      <c r="G58" t="s">
        <v>191</v>
      </c>
      <c r="H58" t="s">
        <v>23</v>
      </c>
      <c r="J58">
        <v>8.5</v>
      </c>
      <c r="K58">
        <f t="shared" si="0"/>
        <v>3.8958657988816571E-3</v>
      </c>
    </row>
    <row r="59" spans="1:11" x14ac:dyDescent="0.3">
      <c r="A59" t="s">
        <v>192</v>
      </c>
      <c r="B59" t="s">
        <v>107</v>
      </c>
      <c r="C59" t="s">
        <v>107</v>
      </c>
      <c r="D59" t="s">
        <v>190</v>
      </c>
      <c r="E59" s="1">
        <v>45740</v>
      </c>
      <c r="F59" s="1">
        <v>46387</v>
      </c>
      <c r="G59" t="s">
        <v>193</v>
      </c>
      <c r="H59" t="s">
        <v>23</v>
      </c>
      <c r="J59">
        <v>1</v>
      </c>
      <c r="K59">
        <f t="shared" si="0"/>
        <v>4.5833715280960672E-4</v>
      </c>
    </row>
    <row r="60" spans="1:11" x14ac:dyDescent="0.3">
      <c r="A60" t="s">
        <v>194</v>
      </c>
      <c r="B60" t="s">
        <v>137</v>
      </c>
      <c r="C60" t="s">
        <v>195</v>
      </c>
      <c r="D60" t="s">
        <v>56</v>
      </c>
      <c r="E60" s="1">
        <v>45138</v>
      </c>
      <c r="F60" s="1">
        <v>46089</v>
      </c>
      <c r="G60" t="s">
        <v>196</v>
      </c>
      <c r="H60" t="s">
        <v>23</v>
      </c>
      <c r="J60">
        <v>8</v>
      </c>
      <c r="K60">
        <f t="shared" si="0"/>
        <v>3.6666972224768538E-3</v>
      </c>
    </row>
    <row r="61" spans="1:11" x14ac:dyDescent="0.3">
      <c r="A61" t="s">
        <v>197</v>
      </c>
      <c r="B61" t="s">
        <v>198</v>
      </c>
      <c r="C61" t="s">
        <v>198</v>
      </c>
      <c r="D61" t="s">
        <v>199</v>
      </c>
      <c r="E61" s="1">
        <v>45698</v>
      </c>
      <c r="F61" s="1">
        <v>45940</v>
      </c>
      <c r="G61" t="s">
        <v>200</v>
      </c>
      <c r="H61" t="s">
        <v>23</v>
      </c>
      <c r="J61">
        <v>4</v>
      </c>
      <c r="K61">
        <f t="shared" si="0"/>
        <v>1.8333486112384269E-3</v>
      </c>
    </row>
    <row r="62" spans="1:11" x14ac:dyDescent="0.3">
      <c r="A62" t="s">
        <v>201</v>
      </c>
      <c r="B62" t="s">
        <v>44</v>
      </c>
      <c r="C62" t="s">
        <v>202</v>
      </c>
      <c r="D62" t="s">
        <v>199</v>
      </c>
      <c r="E62" s="1">
        <v>45530</v>
      </c>
      <c r="F62" s="1">
        <v>45939</v>
      </c>
      <c r="G62" t="s">
        <v>203</v>
      </c>
      <c r="H62" t="s">
        <v>23</v>
      </c>
      <c r="J62">
        <v>9.5</v>
      </c>
      <c r="K62">
        <f t="shared" si="0"/>
        <v>4.3542029516912637E-3</v>
      </c>
    </row>
    <row r="63" spans="1:11" x14ac:dyDescent="0.3">
      <c r="A63" t="s">
        <v>204</v>
      </c>
      <c r="B63" t="s">
        <v>205</v>
      </c>
      <c r="C63" t="s">
        <v>206</v>
      </c>
      <c r="D63" t="s">
        <v>153</v>
      </c>
      <c r="E63" s="1">
        <v>45166</v>
      </c>
      <c r="F63" s="1">
        <v>46387</v>
      </c>
      <c r="G63" t="s">
        <v>207</v>
      </c>
      <c r="H63" t="s">
        <v>23</v>
      </c>
      <c r="J63">
        <v>26</v>
      </c>
      <c r="K63">
        <f t="shared" si="0"/>
        <v>1.1916765973049774E-2</v>
      </c>
    </row>
    <row r="64" spans="1:11" x14ac:dyDescent="0.3">
      <c r="A64" t="s">
        <v>208</v>
      </c>
      <c r="B64" t="s">
        <v>152</v>
      </c>
      <c r="C64" t="s">
        <v>152</v>
      </c>
      <c r="D64" t="s">
        <v>153</v>
      </c>
      <c r="E64" s="1">
        <v>45642</v>
      </c>
      <c r="F64" s="1">
        <v>46387</v>
      </c>
      <c r="G64" t="s">
        <v>209</v>
      </c>
      <c r="H64" t="s">
        <v>23</v>
      </c>
      <c r="J64">
        <v>0</v>
      </c>
      <c r="K64">
        <f t="shared" si="0"/>
        <v>0</v>
      </c>
    </row>
    <row r="65" spans="1:11" x14ac:dyDescent="0.3">
      <c r="A65" t="s">
        <v>210</v>
      </c>
      <c r="B65" t="s">
        <v>107</v>
      </c>
      <c r="C65" t="s">
        <v>107</v>
      </c>
      <c r="D65" t="s">
        <v>153</v>
      </c>
      <c r="E65" s="1">
        <v>45698</v>
      </c>
      <c r="F65" s="1">
        <v>46387</v>
      </c>
      <c r="G65" t="s">
        <v>211</v>
      </c>
      <c r="H65" t="s">
        <v>23</v>
      </c>
      <c r="J65">
        <v>1</v>
      </c>
      <c r="K65">
        <f t="shared" si="0"/>
        <v>4.5833715280960672E-4</v>
      </c>
    </row>
    <row r="66" spans="1:11" x14ac:dyDescent="0.3">
      <c r="A66" t="s">
        <v>212</v>
      </c>
      <c r="B66" t="s">
        <v>152</v>
      </c>
      <c r="C66" t="s">
        <v>152</v>
      </c>
      <c r="D66" t="s">
        <v>153</v>
      </c>
      <c r="E66" s="1">
        <v>45733</v>
      </c>
      <c r="F66" s="1">
        <v>46387</v>
      </c>
      <c r="G66" t="s">
        <v>213</v>
      </c>
      <c r="H66" t="s">
        <v>23</v>
      </c>
      <c r="J66">
        <v>0</v>
      </c>
      <c r="K66">
        <f t="shared" si="0"/>
        <v>0</v>
      </c>
    </row>
    <row r="67" spans="1:11" x14ac:dyDescent="0.3">
      <c r="A67" t="s">
        <v>214</v>
      </c>
      <c r="B67" t="s">
        <v>70</v>
      </c>
      <c r="C67" t="s">
        <v>215</v>
      </c>
      <c r="D67" t="s">
        <v>10</v>
      </c>
      <c r="E67" s="1">
        <v>45138</v>
      </c>
      <c r="F67" s="1">
        <v>46022</v>
      </c>
      <c r="G67" t="s">
        <v>216</v>
      </c>
      <c r="H67" t="s">
        <v>23</v>
      </c>
      <c r="J67">
        <v>0</v>
      </c>
      <c r="K67">
        <f t="shared" si="0"/>
        <v>0</v>
      </c>
    </row>
    <row r="68" spans="1:11" x14ac:dyDescent="0.3">
      <c r="A68" t="s">
        <v>217</v>
      </c>
      <c r="B68" t="s">
        <v>70</v>
      </c>
      <c r="C68" t="s">
        <v>215</v>
      </c>
      <c r="D68" t="s">
        <v>10</v>
      </c>
      <c r="E68" s="1">
        <v>45138</v>
      </c>
      <c r="F68" s="1">
        <v>46022</v>
      </c>
      <c r="G68" t="s">
        <v>218</v>
      </c>
      <c r="H68" t="s">
        <v>23</v>
      </c>
      <c r="J68">
        <v>0</v>
      </c>
      <c r="K68">
        <f t="shared" si="0"/>
        <v>0</v>
      </c>
    </row>
    <row r="69" spans="1:11" x14ac:dyDescent="0.3">
      <c r="A69" t="s">
        <v>219</v>
      </c>
      <c r="B69" t="s">
        <v>107</v>
      </c>
      <c r="C69" t="s">
        <v>220</v>
      </c>
      <c r="D69" t="s">
        <v>221</v>
      </c>
      <c r="E69" s="1">
        <v>45838</v>
      </c>
      <c r="F69" s="1">
        <v>46022</v>
      </c>
      <c r="G69" t="s">
        <v>222</v>
      </c>
      <c r="H69" t="s">
        <v>23</v>
      </c>
      <c r="J69">
        <v>0</v>
      </c>
      <c r="K69">
        <f t="shared" si="0"/>
        <v>0</v>
      </c>
    </row>
    <row r="70" spans="1:11" x14ac:dyDescent="0.3">
      <c r="A70" t="s">
        <v>223</v>
      </c>
      <c r="B70" t="s">
        <v>224</v>
      </c>
      <c r="C70" t="s">
        <v>225</v>
      </c>
      <c r="D70" t="s">
        <v>199</v>
      </c>
      <c r="E70" s="1">
        <v>45446</v>
      </c>
      <c r="F70" s="1">
        <v>46021</v>
      </c>
      <c r="G70" t="s">
        <v>226</v>
      </c>
      <c r="H70" t="s">
        <v>23</v>
      </c>
      <c r="J70">
        <v>2</v>
      </c>
      <c r="K70">
        <f t="shared" si="0"/>
        <v>9.1667430561921345E-4</v>
      </c>
    </row>
    <row r="71" spans="1:11" x14ac:dyDescent="0.3">
      <c r="A71" t="s">
        <v>227</v>
      </c>
      <c r="B71" t="s">
        <v>85</v>
      </c>
      <c r="C71" t="s">
        <v>86</v>
      </c>
      <c r="D71" t="s">
        <v>228</v>
      </c>
      <c r="E71" s="1">
        <v>45621</v>
      </c>
      <c r="F71" s="1">
        <v>45900</v>
      </c>
      <c r="G71" t="s">
        <v>229</v>
      </c>
      <c r="H71" t="s">
        <v>23</v>
      </c>
      <c r="J71">
        <v>0</v>
      </c>
      <c r="K71">
        <f t="shared" ref="K71:K134" si="1">J71/$J$221</f>
        <v>0</v>
      </c>
    </row>
    <row r="72" spans="1:11" x14ac:dyDescent="0.3">
      <c r="A72" t="s">
        <v>230</v>
      </c>
      <c r="B72" t="s">
        <v>147</v>
      </c>
      <c r="C72" t="s">
        <v>20</v>
      </c>
      <c r="D72" t="s">
        <v>228</v>
      </c>
      <c r="E72" s="1">
        <v>45376</v>
      </c>
      <c r="F72" s="1">
        <v>46022</v>
      </c>
      <c r="G72" t="s">
        <v>231</v>
      </c>
      <c r="H72" t="s">
        <v>23</v>
      </c>
      <c r="J72">
        <v>0</v>
      </c>
      <c r="K72">
        <f t="shared" si="1"/>
        <v>0</v>
      </c>
    </row>
    <row r="73" spans="1:11" x14ac:dyDescent="0.3">
      <c r="A73" t="s">
        <v>232</v>
      </c>
      <c r="B73" t="s">
        <v>137</v>
      </c>
      <c r="C73" t="s">
        <v>233</v>
      </c>
      <c r="D73" t="s">
        <v>153</v>
      </c>
      <c r="E73" s="1">
        <v>45323</v>
      </c>
      <c r="F73" s="1">
        <v>46022</v>
      </c>
      <c r="G73" t="s">
        <v>234</v>
      </c>
      <c r="H73" t="s">
        <v>23</v>
      </c>
      <c r="J73">
        <v>0</v>
      </c>
      <c r="K73">
        <f t="shared" si="1"/>
        <v>0</v>
      </c>
    </row>
    <row r="74" spans="1:11" x14ac:dyDescent="0.3">
      <c r="A74" t="s">
        <v>235</v>
      </c>
      <c r="B74" t="s">
        <v>147</v>
      </c>
      <c r="C74" t="s">
        <v>236</v>
      </c>
      <c r="D74" t="s">
        <v>228</v>
      </c>
      <c r="E74" s="1">
        <v>45810</v>
      </c>
      <c r="F74" s="1">
        <v>45856</v>
      </c>
      <c r="G74" t="s">
        <v>237</v>
      </c>
      <c r="H74" t="s">
        <v>23</v>
      </c>
      <c r="J74">
        <v>0</v>
      </c>
      <c r="K74">
        <f t="shared" si="1"/>
        <v>0</v>
      </c>
    </row>
    <row r="75" spans="1:11" x14ac:dyDescent="0.3">
      <c r="A75" t="s">
        <v>238</v>
      </c>
      <c r="B75" t="s">
        <v>85</v>
      </c>
      <c r="C75" t="s">
        <v>86</v>
      </c>
      <c r="D75" t="s">
        <v>149</v>
      </c>
      <c r="E75" s="1">
        <v>45705</v>
      </c>
      <c r="F75" s="1">
        <v>46022</v>
      </c>
      <c r="G75" t="s">
        <v>239</v>
      </c>
      <c r="H75" t="s">
        <v>23</v>
      </c>
      <c r="J75">
        <v>0</v>
      </c>
      <c r="K75">
        <f t="shared" si="1"/>
        <v>0</v>
      </c>
    </row>
    <row r="76" spans="1:11" x14ac:dyDescent="0.3">
      <c r="A76" t="s">
        <v>240</v>
      </c>
      <c r="B76" t="s">
        <v>241</v>
      </c>
      <c r="C76" t="s">
        <v>242</v>
      </c>
      <c r="D76" t="s">
        <v>149</v>
      </c>
      <c r="E76" s="1">
        <v>45719</v>
      </c>
      <c r="F76" s="1">
        <v>46022</v>
      </c>
      <c r="G76" t="s">
        <v>243</v>
      </c>
      <c r="H76" t="s">
        <v>23</v>
      </c>
      <c r="J76">
        <v>9</v>
      </c>
      <c r="K76">
        <f t="shared" si="1"/>
        <v>4.1250343752864604E-3</v>
      </c>
    </row>
    <row r="77" spans="1:11" x14ac:dyDescent="0.3">
      <c r="A77" t="s">
        <v>244</v>
      </c>
      <c r="B77" t="s">
        <v>137</v>
      </c>
      <c r="C77" t="s">
        <v>245</v>
      </c>
      <c r="D77" t="s">
        <v>246</v>
      </c>
      <c r="E77" s="1">
        <v>45166</v>
      </c>
      <c r="F77" s="1">
        <v>46087</v>
      </c>
      <c r="G77" t="s">
        <v>247</v>
      </c>
      <c r="H77" t="s">
        <v>23</v>
      </c>
      <c r="J77">
        <v>10</v>
      </c>
      <c r="K77">
        <f t="shared" si="1"/>
        <v>4.583371528096067E-3</v>
      </c>
    </row>
    <row r="78" spans="1:11" x14ac:dyDescent="0.3">
      <c r="A78" t="s">
        <v>248</v>
      </c>
      <c r="B78" t="s">
        <v>95</v>
      </c>
      <c r="C78" t="s">
        <v>249</v>
      </c>
      <c r="D78" t="s">
        <v>221</v>
      </c>
      <c r="E78" s="1">
        <v>45166</v>
      </c>
      <c r="F78" s="1">
        <v>46084</v>
      </c>
      <c r="G78" t="s">
        <v>250</v>
      </c>
      <c r="H78" t="s">
        <v>23</v>
      </c>
      <c r="J78">
        <v>10</v>
      </c>
      <c r="K78">
        <f t="shared" si="1"/>
        <v>4.583371528096067E-3</v>
      </c>
    </row>
    <row r="79" spans="1:11" x14ac:dyDescent="0.3">
      <c r="A79" t="s">
        <v>251</v>
      </c>
      <c r="B79" t="s">
        <v>252</v>
      </c>
      <c r="C79" t="s">
        <v>253</v>
      </c>
      <c r="D79" t="s">
        <v>46</v>
      </c>
      <c r="E79" s="1">
        <v>45271</v>
      </c>
      <c r="F79" s="1">
        <v>46052</v>
      </c>
      <c r="G79" t="s">
        <v>254</v>
      </c>
      <c r="H79" t="s">
        <v>23</v>
      </c>
      <c r="J79">
        <v>0</v>
      </c>
      <c r="K79">
        <f t="shared" si="1"/>
        <v>0</v>
      </c>
    </row>
    <row r="80" spans="1:11" x14ac:dyDescent="0.3">
      <c r="A80" t="s">
        <v>255</v>
      </c>
      <c r="B80" t="s">
        <v>70</v>
      </c>
      <c r="C80" t="s">
        <v>71</v>
      </c>
      <c r="D80" t="s">
        <v>228</v>
      </c>
      <c r="E80" s="1">
        <v>45831</v>
      </c>
      <c r="F80" s="1">
        <v>46021</v>
      </c>
      <c r="G80" t="s">
        <v>256</v>
      </c>
      <c r="H80" t="s">
        <v>23</v>
      </c>
      <c r="J80">
        <v>9</v>
      </c>
      <c r="K80">
        <f t="shared" si="1"/>
        <v>4.1250343752864604E-3</v>
      </c>
    </row>
    <row r="81" spans="1:11" x14ac:dyDescent="0.3">
      <c r="A81" t="s">
        <v>257</v>
      </c>
      <c r="B81" t="s">
        <v>70</v>
      </c>
      <c r="C81" t="s">
        <v>71</v>
      </c>
      <c r="D81" t="s">
        <v>126</v>
      </c>
      <c r="E81" s="1">
        <v>45761</v>
      </c>
      <c r="F81" s="1">
        <v>45899</v>
      </c>
      <c r="G81" t="s">
        <v>258</v>
      </c>
      <c r="H81" t="s">
        <v>23</v>
      </c>
      <c r="J81">
        <v>0</v>
      </c>
      <c r="K81">
        <f t="shared" si="1"/>
        <v>0</v>
      </c>
    </row>
    <row r="82" spans="1:11" x14ac:dyDescent="0.3">
      <c r="A82" t="s">
        <v>259</v>
      </c>
      <c r="B82" t="s">
        <v>70</v>
      </c>
      <c r="C82" t="s">
        <v>260</v>
      </c>
      <c r="D82" t="s">
        <v>78</v>
      </c>
      <c r="E82" s="1">
        <v>45170</v>
      </c>
      <c r="F82" s="1">
        <v>46387</v>
      </c>
      <c r="G82" t="s">
        <v>261</v>
      </c>
      <c r="H82" t="s">
        <v>23</v>
      </c>
      <c r="J82">
        <v>0</v>
      </c>
      <c r="K82">
        <f t="shared" si="1"/>
        <v>0</v>
      </c>
    </row>
    <row r="83" spans="1:11" x14ac:dyDescent="0.3">
      <c r="A83" t="s">
        <v>262</v>
      </c>
      <c r="B83" t="s">
        <v>70</v>
      </c>
      <c r="C83" t="s">
        <v>263</v>
      </c>
      <c r="D83" t="s">
        <v>228</v>
      </c>
      <c r="E83" s="1">
        <v>45775</v>
      </c>
      <c r="F83" s="1">
        <v>46022</v>
      </c>
      <c r="G83" t="s">
        <v>264</v>
      </c>
      <c r="H83" t="s">
        <v>23</v>
      </c>
      <c r="J83">
        <v>2.4</v>
      </c>
      <c r="K83">
        <f t="shared" si="1"/>
        <v>1.1000091667430561E-3</v>
      </c>
    </row>
    <row r="84" spans="1:11" x14ac:dyDescent="0.3">
      <c r="A84" t="s">
        <v>265</v>
      </c>
      <c r="B84" t="s">
        <v>70</v>
      </c>
      <c r="C84" t="s">
        <v>263</v>
      </c>
      <c r="D84" t="s">
        <v>228</v>
      </c>
      <c r="E84" s="1">
        <v>45642</v>
      </c>
      <c r="F84" s="1">
        <v>46005</v>
      </c>
      <c r="G84" t="s">
        <v>266</v>
      </c>
      <c r="H84" t="s">
        <v>23</v>
      </c>
      <c r="J84">
        <v>2</v>
      </c>
      <c r="K84">
        <f t="shared" si="1"/>
        <v>9.1667430561921345E-4</v>
      </c>
    </row>
    <row r="85" spans="1:11" x14ac:dyDescent="0.3">
      <c r="A85" t="s">
        <v>267</v>
      </c>
      <c r="B85" t="s">
        <v>70</v>
      </c>
      <c r="C85" t="s">
        <v>70</v>
      </c>
      <c r="E85" s="1">
        <v>45845</v>
      </c>
      <c r="F85" s="1">
        <v>45877</v>
      </c>
      <c r="G85" t="s">
        <v>268</v>
      </c>
      <c r="H85" t="s">
        <v>23</v>
      </c>
      <c r="J85">
        <v>0</v>
      </c>
      <c r="K85">
        <f t="shared" si="1"/>
        <v>0</v>
      </c>
    </row>
    <row r="86" spans="1:11" x14ac:dyDescent="0.3">
      <c r="A86" t="s">
        <v>269</v>
      </c>
      <c r="B86" t="s">
        <v>70</v>
      </c>
      <c r="C86" t="s">
        <v>71</v>
      </c>
      <c r="D86" t="s">
        <v>228</v>
      </c>
      <c r="E86" s="1">
        <v>45593</v>
      </c>
      <c r="F86" s="1">
        <v>46066</v>
      </c>
      <c r="G86" t="s">
        <v>270</v>
      </c>
      <c r="H86" t="s">
        <v>23</v>
      </c>
      <c r="J86">
        <v>8</v>
      </c>
      <c r="K86">
        <f t="shared" si="1"/>
        <v>3.6666972224768538E-3</v>
      </c>
    </row>
    <row r="87" spans="1:11" x14ac:dyDescent="0.3">
      <c r="A87" t="s">
        <v>271</v>
      </c>
      <c r="B87" t="s">
        <v>70</v>
      </c>
      <c r="C87" t="s">
        <v>263</v>
      </c>
      <c r="D87" t="s">
        <v>228</v>
      </c>
      <c r="E87" s="1">
        <v>45726</v>
      </c>
      <c r="F87" s="1">
        <v>46059</v>
      </c>
      <c r="G87" t="s">
        <v>272</v>
      </c>
      <c r="H87" t="s">
        <v>23</v>
      </c>
      <c r="J87">
        <v>1.7</v>
      </c>
      <c r="K87">
        <f t="shared" si="1"/>
        <v>7.7917315977633135E-4</v>
      </c>
    </row>
    <row r="88" spans="1:11" x14ac:dyDescent="0.3">
      <c r="A88" t="s">
        <v>273</v>
      </c>
      <c r="B88" t="s">
        <v>70</v>
      </c>
      <c r="C88" t="s">
        <v>263</v>
      </c>
      <c r="D88" t="s">
        <v>228</v>
      </c>
      <c r="E88" s="1">
        <v>45726</v>
      </c>
      <c r="F88" s="1">
        <v>46005</v>
      </c>
      <c r="G88" t="s">
        <v>274</v>
      </c>
      <c r="H88" t="s">
        <v>23</v>
      </c>
      <c r="J88">
        <v>1.4</v>
      </c>
      <c r="K88">
        <f t="shared" si="1"/>
        <v>6.4167201393344937E-4</v>
      </c>
    </row>
    <row r="89" spans="1:11" x14ac:dyDescent="0.3">
      <c r="A89" t="s">
        <v>275</v>
      </c>
      <c r="B89" t="s">
        <v>70</v>
      </c>
      <c r="C89" t="s">
        <v>71</v>
      </c>
      <c r="D89" t="s">
        <v>228</v>
      </c>
      <c r="E89" s="1">
        <v>45775</v>
      </c>
      <c r="F89" s="1">
        <v>46077</v>
      </c>
      <c r="G89" t="s">
        <v>276</v>
      </c>
      <c r="H89" t="s">
        <v>23</v>
      </c>
      <c r="J89">
        <v>7.2</v>
      </c>
      <c r="K89">
        <f t="shared" si="1"/>
        <v>3.3000275002291685E-3</v>
      </c>
    </row>
    <row r="90" spans="1:11" x14ac:dyDescent="0.3">
      <c r="A90" t="s">
        <v>277</v>
      </c>
      <c r="B90" t="s">
        <v>70</v>
      </c>
      <c r="C90" t="s">
        <v>263</v>
      </c>
      <c r="D90" t="s">
        <v>228</v>
      </c>
      <c r="E90" s="1">
        <v>45775</v>
      </c>
      <c r="F90" s="1">
        <v>45961</v>
      </c>
      <c r="G90" t="s">
        <v>278</v>
      </c>
      <c r="H90" t="s">
        <v>23</v>
      </c>
      <c r="J90">
        <v>0.9</v>
      </c>
      <c r="K90">
        <f t="shared" si="1"/>
        <v>4.1250343752864606E-4</v>
      </c>
    </row>
    <row r="91" spans="1:11" x14ac:dyDescent="0.3">
      <c r="A91" t="s">
        <v>279</v>
      </c>
      <c r="B91" t="s">
        <v>70</v>
      </c>
      <c r="C91" t="s">
        <v>263</v>
      </c>
      <c r="D91" t="s">
        <v>228</v>
      </c>
      <c r="E91" s="1">
        <v>45775</v>
      </c>
      <c r="F91" s="1">
        <v>45869</v>
      </c>
      <c r="G91" t="s">
        <v>280</v>
      </c>
      <c r="H91" t="s">
        <v>23</v>
      </c>
      <c r="J91">
        <v>0</v>
      </c>
      <c r="K91">
        <f t="shared" si="1"/>
        <v>0</v>
      </c>
    </row>
    <row r="92" spans="1:11" x14ac:dyDescent="0.3">
      <c r="A92" t="s">
        <v>281</v>
      </c>
      <c r="B92" t="s">
        <v>70</v>
      </c>
      <c r="C92" t="s">
        <v>71</v>
      </c>
      <c r="D92" t="s">
        <v>228</v>
      </c>
      <c r="E92" s="1">
        <v>45704</v>
      </c>
      <c r="F92" s="1">
        <v>46060</v>
      </c>
      <c r="G92" t="s">
        <v>282</v>
      </c>
      <c r="H92" t="s">
        <v>23</v>
      </c>
      <c r="J92">
        <v>6</v>
      </c>
      <c r="K92">
        <f t="shared" si="1"/>
        <v>2.7500229168576401E-3</v>
      </c>
    </row>
    <row r="93" spans="1:11" x14ac:dyDescent="0.3">
      <c r="A93" t="s">
        <v>283</v>
      </c>
      <c r="B93" t="s">
        <v>70</v>
      </c>
      <c r="C93" t="s">
        <v>263</v>
      </c>
      <c r="D93" t="s">
        <v>228</v>
      </c>
      <c r="E93" s="1">
        <v>45775</v>
      </c>
      <c r="F93" s="1">
        <v>46022</v>
      </c>
      <c r="G93" t="s">
        <v>284</v>
      </c>
      <c r="H93" t="s">
        <v>23</v>
      </c>
      <c r="J93">
        <v>0</v>
      </c>
      <c r="K93">
        <f t="shared" si="1"/>
        <v>0</v>
      </c>
    </row>
    <row r="94" spans="1:11" x14ac:dyDescent="0.3">
      <c r="A94" t="s">
        <v>285</v>
      </c>
      <c r="B94" t="s">
        <v>70</v>
      </c>
      <c r="C94" t="s">
        <v>263</v>
      </c>
      <c r="D94" t="s">
        <v>228</v>
      </c>
      <c r="E94" s="1">
        <v>45775</v>
      </c>
      <c r="F94" s="1">
        <v>46022</v>
      </c>
      <c r="G94" t="s">
        <v>286</v>
      </c>
      <c r="H94" t="s">
        <v>23</v>
      </c>
      <c r="J94">
        <v>0</v>
      </c>
      <c r="K94">
        <f t="shared" si="1"/>
        <v>0</v>
      </c>
    </row>
    <row r="95" spans="1:11" x14ac:dyDescent="0.3">
      <c r="A95" t="s">
        <v>287</v>
      </c>
      <c r="B95" t="s">
        <v>70</v>
      </c>
      <c r="C95" t="s">
        <v>71</v>
      </c>
      <c r="D95" t="s">
        <v>228</v>
      </c>
      <c r="E95" s="1">
        <v>45726</v>
      </c>
      <c r="F95" s="1">
        <v>45862</v>
      </c>
      <c r="G95" t="s">
        <v>288</v>
      </c>
      <c r="H95" t="s">
        <v>23</v>
      </c>
      <c r="J95">
        <v>0</v>
      </c>
      <c r="K95">
        <f t="shared" si="1"/>
        <v>0</v>
      </c>
    </row>
    <row r="96" spans="1:11" x14ac:dyDescent="0.3">
      <c r="A96" t="s">
        <v>289</v>
      </c>
      <c r="B96" t="s">
        <v>147</v>
      </c>
      <c r="C96" t="s">
        <v>147</v>
      </c>
      <c r="D96" t="s">
        <v>228</v>
      </c>
      <c r="E96" s="1">
        <v>45761</v>
      </c>
      <c r="F96" s="1">
        <v>46081</v>
      </c>
      <c r="G96" t="s">
        <v>290</v>
      </c>
      <c r="H96" t="s">
        <v>23</v>
      </c>
      <c r="J96">
        <v>0</v>
      </c>
      <c r="K96">
        <f t="shared" si="1"/>
        <v>0</v>
      </c>
    </row>
    <row r="97" spans="1:11" x14ac:dyDescent="0.3">
      <c r="A97" t="s">
        <v>291</v>
      </c>
      <c r="B97" t="s">
        <v>76</v>
      </c>
      <c r="C97" t="s">
        <v>292</v>
      </c>
      <c r="D97" t="s">
        <v>10</v>
      </c>
      <c r="E97" s="1">
        <v>45474</v>
      </c>
      <c r="F97" s="1">
        <v>46081</v>
      </c>
      <c r="G97" t="s">
        <v>293</v>
      </c>
      <c r="H97" t="s">
        <v>23</v>
      </c>
      <c r="J97">
        <v>0</v>
      </c>
      <c r="K97">
        <f t="shared" si="1"/>
        <v>0</v>
      </c>
    </row>
    <row r="98" spans="1:11" x14ac:dyDescent="0.3">
      <c r="A98" t="s">
        <v>294</v>
      </c>
      <c r="B98" t="s">
        <v>295</v>
      </c>
      <c r="C98" t="s">
        <v>296</v>
      </c>
      <c r="D98" t="s">
        <v>297</v>
      </c>
      <c r="E98" s="1">
        <v>45166</v>
      </c>
      <c r="F98" s="1">
        <v>46387</v>
      </c>
      <c r="G98" t="s">
        <v>298</v>
      </c>
      <c r="H98" t="s">
        <v>23</v>
      </c>
      <c r="J98">
        <v>0</v>
      </c>
      <c r="K98">
        <f t="shared" si="1"/>
        <v>0</v>
      </c>
    </row>
    <row r="99" spans="1:11" x14ac:dyDescent="0.3">
      <c r="A99" t="s">
        <v>299</v>
      </c>
      <c r="B99" t="s">
        <v>104</v>
      </c>
      <c r="C99" t="s">
        <v>104</v>
      </c>
      <c r="D99" t="s">
        <v>46</v>
      </c>
      <c r="E99" s="1">
        <v>45859</v>
      </c>
      <c r="F99" s="1">
        <v>46028</v>
      </c>
      <c r="G99" t="s">
        <v>300</v>
      </c>
      <c r="H99" t="s">
        <v>23</v>
      </c>
      <c r="J99">
        <v>15</v>
      </c>
      <c r="K99">
        <f t="shared" si="1"/>
        <v>6.875057292144101E-3</v>
      </c>
    </row>
    <row r="100" spans="1:11" x14ac:dyDescent="0.3">
      <c r="A100" t="s">
        <v>301</v>
      </c>
      <c r="B100" t="s">
        <v>205</v>
      </c>
      <c r="C100" t="s">
        <v>302</v>
      </c>
      <c r="D100" t="s">
        <v>21</v>
      </c>
      <c r="E100" s="1">
        <v>45166</v>
      </c>
      <c r="F100" s="1">
        <v>46022</v>
      </c>
      <c r="G100" t="s">
        <v>303</v>
      </c>
      <c r="H100" t="s">
        <v>23</v>
      </c>
      <c r="J100">
        <v>0</v>
      </c>
      <c r="K100">
        <f t="shared" si="1"/>
        <v>0</v>
      </c>
    </row>
    <row r="101" spans="1:11" x14ac:dyDescent="0.3">
      <c r="A101" t="s">
        <v>304</v>
      </c>
      <c r="B101" t="s">
        <v>49</v>
      </c>
      <c r="C101" t="s">
        <v>305</v>
      </c>
      <c r="D101" t="s">
        <v>21</v>
      </c>
      <c r="E101" s="1">
        <v>45166</v>
      </c>
      <c r="F101" s="1">
        <v>46079</v>
      </c>
      <c r="G101" t="s">
        <v>306</v>
      </c>
      <c r="H101" t="s">
        <v>23</v>
      </c>
      <c r="J101">
        <v>8</v>
      </c>
      <c r="K101">
        <f t="shared" si="1"/>
        <v>3.6666972224768538E-3</v>
      </c>
    </row>
    <row r="102" spans="1:11" x14ac:dyDescent="0.3">
      <c r="A102" t="s">
        <v>307</v>
      </c>
      <c r="B102" t="s">
        <v>107</v>
      </c>
      <c r="C102" t="s">
        <v>107</v>
      </c>
      <c r="D102" t="s">
        <v>21</v>
      </c>
      <c r="E102" s="1">
        <v>45698</v>
      </c>
      <c r="F102" s="1">
        <v>46387</v>
      </c>
      <c r="G102" t="s">
        <v>308</v>
      </c>
      <c r="H102" t="s">
        <v>23</v>
      </c>
      <c r="J102">
        <v>1</v>
      </c>
      <c r="K102">
        <f t="shared" si="1"/>
        <v>4.5833715280960672E-4</v>
      </c>
    </row>
    <row r="103" spans="1:11" x14ac:dyDescent="0.3">
      <c r="A103" t="s">
        <v>309</v>
      </c>
      <c r="B103" t="s">
        <v>95</v>
      </c>
      <c r="C103" t="s">
        <v>310</v>
      </c>
      <c r="D103" t="s">
        <v>21</v>
      </c>
      <c r="E103" s="1">
        <v>45166</v>
      </c>
      <c r="F103" s="1">
        <v>46094</v>
      </c>
      <c r="G103" t="s">
        <v>311</v>
      </c>
      <c r="H103" t="s">
        <v>23</v>
      </c>
      <c r="J103">
        <v>49</v>
      </c>
      <c r="K103">
        <f t="shared" si="1"/>
        <v>2.2458520487670729E-2</v>
      </c>
    </row>
    <row r="104" spans="1:11" x14ac:dyDescent="0.3">
      <c r="A104" t="s">
        <v>312</v>
      </c>
      <c r="B104" t="s">
        <v>137</v>
      </c>
      <c r="C104" t="s">
        <v>313</v>
      </c>
      <c r="D104" t="s">
        <v>21</v>
      </c>
      <c r="E104" s="1">
        <v>45138</v>
      </c>
      <c r="F104" s="1">
        <v>46326</v>
      </c>
      <c r="G104" t="s">
        <v>314</v>
      </c>
      <c r="H104" t="s">
        <v>23</v>
      </c>
      <c r="J104">
        <v>1</v>
      </c>
      <c r="K104">
        <f t="shared" si="1"/>
        <v>4.5833715280960672E-4</v>
      </c>
    </row>
    <row r="105" spans="1:11" x14ac:dyDescent="0.3">
      <c r="A105" t="s">
        <v>315</v>
      </c>
      <c r="B105" t="s">
        <v>95</v>
      </c>
      <c r="C105" t="s">
        <v>316</v>
      </c>
      <c r="D105" t="s">
        <v>21</v>
      </c>
      <c r="E105" s="1">
        <v>45565</v>
      </c>
      <c r="F105" s="1">
        <v>46087</v>
      </c>
      <c r="G105" t="s">
        <v>317</v>
      </c>
      <c r="H105" t="s">
        <v>23</v>
      </c>
      <c r="J105">
        <v>21</v>
      </c>
      <c r="K105">
        <f t="shared" si="1"/>
        <v>9.6250802090017407E-3</v>
      </c>
    </row>
    <row r="106" spans="1:11" x14ac:dyDescent="0.3">
      <c r="A106" t="s">
        <v>318</v>
      </c>
      <c r="B106" t="s">
        <v>114</v>
      </c>
      <c r="C106" t="s">
        <v>319</v>
      </c>
      <c r="D106" t="s">
        <v>21</v>
      </c>
      <c r="E106" s="1">
        <v>45719</v>
      </c>
      <c r="F106" s="1">
        <v>45860</v>
      </c>
      <c r="G106" t="s">
        <v>320</v>
      </c>
      <c r="H106" t="s">
        <v>23</v>
      </c>
      <c r="J106">
        <v>0</v>
      </c>
      <c r="K106">
        <f t="shared" si="1"/>
        <v>0</v>
      </c>
    </row>
    <row r="107" spans="1:11" x14ac:dyDescent="0.3">
      <c r="A107" t="s">
        <v>321</v>
      </c>
      <c r="B107" t="s">
        <v>44</v>
      </c>
      <c r="C107" t="s">
        <v>322</v>
      </c>
      <c r="D107" t="s">
        <v>21</v>
      </c>
      <c r="E107" s="1">
        <v>45397</v>
      </c>
      <c r="F107" s="1">
        <v>45975</v>
      </c>
      <c r="G107" t="s">
        <v>323</v>
      </c>
      <c r="H107" t="s">
        <v>23</v>
      </c>
      <c r="J107">
        <v>2</v>
      </c>
      <c r="K107">
        <f t="shared" si="1"/>
        <v>9.1667430561921345E-4</v>
      </c>
    </row>
    <row r="108" spans="1:11" x14ac:dyDescent="0.3">
      <c r="A108" t="s">
        <v>324</v>
      </c>
      <c r="B108" t="s">
        <v>325</v>
      </c>
      <c r="C108" t="s">
        <v>326</v>
      </c>
      <c r="D108" t="s">
        <v>21</v>
      </c>
      <c r="E108" s="1">
        <v>45285</v>
      </c>
      <c r="F108" s="1">
        <v>45947</v>
      </c>
      <c r="G108" t="s">
        <v>327</v>
      </c>
      <c r="H108" t="s">
        <v>23</v>
      </c>
      <c r="J108">
        <v>4</v>
      </c>
      <c r="K108">
        <f t="shared" si="1"/>
        <v>1.8333486112384269E-3</v>
      </c>
    </row>
    <row r="109" spans="1:11" x14ac:dyDescent="0.3">
      <c r="A109" t="s">
        <v>328</v>
      </c>
      <c r="B109" t="s">
        <v>329</v>
      </c>
      <c r="C109" t="s">
        <v>330</v>
      </c>
      <c r="D109" t="s">
        <v>21</v>
      </c>
      <c r="E109" s="1">
        <v>45509</v>
      </c>
      <c r="F109" s="1">
        <v>45890</v>
      </c>
      <c r="G109" t="s">
        <v>331</v>
      </c>
      <c r="H109" t="s">
        <v>23</v>
      </c>
      <c r="J109">
        <v>0</v>
      </c>
      <c r="K109">
        <f t="shared" si="1"/>
        <v>0</v>
      </c>
    </row>
    <row r="110" spans="1:11" x14ac:dyDescent="0.3">
      <c r="A110" t="s">
        <v>332</v>
      </c>
      <c r="B110" t="s">
        <v>329</v>
      </c>
      <c r="C110" t="s">
        <v>329</v>
      </c>
      <c r="D110" t="s">
        <v>21</v>
      </c>
      <c r="E110" s="1">
        <v>45866</v>
      </c>
      <c r="F110" s="1">
        <v>46112</v>
      </c>
      <c r="G110" t="s">
        <v>333</v>
      </c>
      <c r="H110" t="s">
        <v>23</v>
      </c>
      <c r="J110">
        <v>6</v>
      </c>
      <c r="K110">
        <f t="shared" si="1"/>
        <v>2.7500229168576401E-3</v>
      </c>
    </row>
    <row r="111" spans="1:11" x14ac:dyDescent="0.3">
      <c r="A111" t="s">
        <v>334</v>
      </c>
      <c r="B111" t="s">
        <v>325</v>
      </c>
      <c r="C111" t="s">
        <v>325</v>
      </c>
      <c r="D111" t="s">
        <v>21</v>
      </c>
      <c r="E111" s="1">
        <v>45839</v>
      </c>
      <c r="F111" s="1">
        <v>46022</v>
      </c>
      <c r="G111" t="s">
        <v>335</v>
      </c>
      <c r="H111" t="s">
        <v>23</v>
      </c>
      <c r="J111">
        <v>16</v>
      </c>
      <c r="K111">
        <f t="shared" si="1"/>
        <v>7.3333944449537076E-3</v>
      </c>
    </row>
    <row r="112" spans="1:11" x14ac:dyDescent="0.3">
      <c r="A112" t="s">
        <v>336</v>
      </c>
      <c r="B112" t="s">
        <v>114</v>
      </c>
      <c r="C112" t="s">
        <v>337</v>
      </c>
      <c r="D112" t="s">
        <v>21</v>
      </c>
      <c r="E112" s="1">
        <v>45663</v>
      </c>
      <c r="F112" s="1">
        <v>45905</v>
      </c>
      <c r="G112" t="s">
        <v>338</v>
      </c>
      <c r="H112" t="s">
        <v>23</v>
      </c>
      <c r="J112">
        <v>0</v>
      </c>
      <c r="K112">
        <f t="shared" si="1"/>
        <v>0</v>
      </c>
    </row>
    <row r="113" spans="1:11" x14ac:dyDescent="0.3">
      <c r="A113" t="s">
        <v>339</v>
      </c>
      <c r="B113" t="s">
        <v>44</v>
      </c>
      <c r="C113" t="s">
        <v>322</v>
      </c>
      <c r="D113" t="s">
        <v>21</v>
      </c>
      <c r="E113" s="1">
        <v>45355</v>
      </c>
      <c r="F113" s="1">
        <v>46079</v>
      </c>
      <c r="G113" t="s">
        <v>340</v>
      </c>
      <c r="H113" t="s">
        <v>23</v>
      </c>
      <c r="J113">
        <v>21</v>
      </c>
      <c r="K113">
        <f t="shared" si="1"/>
        <v>9.6250802090017407E-3</v>
      </c>
    </row>
    <row r="114" spans="1:11" x14ac:dyDescent="0.3">
      <c r="A114" t="s">
        <v>341</v>
      </c>
      <c r="B114" t="s">
        <v>329</v>
      </c>
      <c r="C114" t="s">
        <v>342</v>
      </c>
      <c r="D114" t="s">
        <v>21</v>
      </c>
      <c r="E114" s="1">
        <v>45775</v>
      </c>
      <c r="F114" s="1">
        <v>46081</v>
      </c>
      <c r="G114" t="s">
        <v>343</v>
      </c>
      <c r="H114" t="s">
        <v>23</v>
      </c>
      <c r="J114">
        <v>51</v>
      </c>
      <c r="K114">
        <f t="shared" si="1"/>
        <v>2.3375194793289943E-2</v>
      </c>
    </row>
    <row r="115" spans="1:11" x14ac:dyDescent="0.3">
      <c r="A115" t="s">
        <v>344</v>
      </c>
      <c r="B115" t="s">
        <v>329</v>
      </c>
      <c r="C115" t="s">
        <v>329</v>
      </c>
      <c r="D115" t="s">
        <v>21</v>
      </c>
      <c r="E115" s="1">
        <v>45866</v>
      </c>
      <c r="F115" s="1">
        <v>46022</v>
      </c>
      <c r="G115" t="s">
        <v>345</v>
      </c>
      <c r="H115" t="s">
        <v>23</v>
      </c>
      <c r="J115">
        <v>20</v>
      </c>
      <c r="K115">
        <f t="shared" si="1"/>
        <v>9.166743056192134E-3</v>
      </c>
    </row>
    <row r="116" spans="1:11" x14ac:dyDescent="0.3">
      <c r="A116" t="s">
        <v>346</v>
      </c>
      <c r="B116" t="s">
        <v>329</v>
      </c>
      <c r="C116" t="s">
        <v>347</v>
      </c>
      <c r="D116" t="s">
        <v>21</v>
      </c>
      <c r="E116" s="1">
        <v>45747</v>
      </c>
      <c r="F116" s="1">
        <v>45948</v>
      </c>
      <c r="G116" t="s">
        <v>348</v>
      </c>
      <c r="H116" t="s">
        <v>23</v>
      </c>
      <c r="J116">
        <v>0</v>
      </c>
      <c r="K116">
        <f t="shared" si="1"/>
        <v>0</v>
      </c>
    </row>
    <row r="117" spans="1:11" x14ac:dyDescent="0.3">
      <c r="A117" t="s">
        <v>349</v>
      </c>
      <c r="B117" t="s">
        <v>152</v>
      </c>
      <c r="C117" t="s">
        <v>152</v>
      </c>
      <c r="D117" t="s">
        <v>21</v>
      </c>
      <c r="E117" s="1">
        <v>45642</v>
      </c>
      <c r="F117" s="1">
        <v>45900</v>
      </c>
      <c r="G117" t="s">
        <v>350</v>
      </c>
      <c r="H117" t="s">
        <v>23</v>
      </c>
      <c r="J117">
        <v>0</v>
      </c>
      <c r="K117">
        <f t="shared" si="1"/>
        <v>0</v>
      </c>
    </row>
    <row r="118" spans="1:11" x14ac:dyDescent="0.3">
      <c r="A118" t="s">
        <v>351</v>
      </c>
      <c r="B118" t="s">
        <v>114</v>
      </c>
      <c r="C118" t="s">
        <v>352</v>
      </c>
      <c r="D118" t="s">
        <v>21</v>
      </c>
      <c r="E118" s="1">
        <v>45656</v>
      </c>
      <c r="F118" s="1">
        <v>45872</v>
      </c>
      <c r="G118" t="s">
        <v>353</v>
      </c>
      <c r="H118" t="s">
        <v>23</v>
      </c>
      <c r="J118">
        <v>0</v>
      </c>
      <c r="K118">
        <f t="shared" si="1"/>
        <v>0</v>
      </c>
    </row>
    <row r="119" spans="1:11" x14ac:dyDescent="0.3">
      <c r="A119" t="s">
        <v>354</v>
      </c>
      <c r="B119" t="s">
        <v>355</v>
      </c>
      <c r="C119" t="s">
        <v>356</v>
      </c>
      <c r="D119" t="s">
        <v>21</v>
      </c>
      <c r="E119" s="1">
        <v>45838</v>
      </c>
      <c r="F119" s="1">
        <v>45989</v>
      </c>
      <c r="G119" t="s">
        <v>357</v>
      </c>
      <c r="H119" t="s">
        <v>23</v>
      </c>
      <c r="J119">
        <v>69</v>
      </c>
      <c r="K119">
        <f t="shared" si="1"/>
        <v>3.1625263543862865E-2</v>
      </c>
    </row>
    <row r="120" spans="1:11" x14ac:dyDescent="0.3">
      <c r="A120" t="s">
        <v>358</v>
      </c>
      <c r="B120" t="s">
        <v>62</v>
      </c>
      <c r="C120" t="s">
        <v>62</v>
      </c>
      <c r="D120" t="s">
        <v>21</v>
      </c>
      <c r="E120" s="1">
        <v>45656</v>
      </c>
      <c r="F120" s="1">
        <v>46022</v>
      </c>
      <c r="G120" t="s">
        <v>359</v>
      </c>
      <c r="H120" t="s">
        <v>23</v>
      </c>
      <c r="J120">
        <v>0</v>
      </c>
      <c r="K120">
        <f t="shared" si="1"/>
        <v>0</v>
      </c>
    </row>
    <row r="121" spans="1:11" x14ac:dyDescent="0.3">
      <c r="A121" t="s">
        <v>360</v>
      </c>
      <c r="B121" t="s">
        <v>325</v>
      </c>
      <c r="C121" t="s">
        <v>347</v>
      </c>
      <c r="D121" t="s">
        <v>21</v>
      </c>
      <c r="E121" s="1">
        <v>45656</v>
      </c>
      <c r="F121" s="1">
        <v>46112</v>
      </c>
      <c r="G121" t="s">
        <v>361</v>
      </c>
      <c r="H121" t="s">
        <v>23</v>
      </c>
      <c r="J121">
        <v>0</v>
      </c>
      <c r="K121">
        <f t="shared" si="1"/>
        <v>0</v>
      </c>
    </row>
    <row r="122" spans="1:11" x14ac:dyDescent="0.3">
      <c r="A122" t="s">
        <v>362</v>
      </c>
      <c r="B122" t="s">
        <v>325</v>
      </c>
      <c r="C122" t="s">
        <v>347</v>
      </c>
      <c r="D122" t="s">
        <v>21</v>
      </c>
      <c r="E122" s="1">
        <v>45789</v>
      </c>
      <c r="F122" s="1">
        <v>45961</v>
      </c>
      <c r="G122" t="s">
        <v>363</v>
      </c>
      <c r="H122" t="s">
        <v>23</v>
      </c>
      <c r="J122">
        <v>0</v>
      </c>
      <c r="K122">
        <f t="shared" si="1"/>
        <v>0</v>
      </c>
    </row>
    <row r="123" spans="1:11" x14ac:dyDescent="0.3">
      <c r="A123" t="s">
        <v>364</v>
      </c>
      <c r="B123" t="s">
        <v>76</v>
      </c>
      <c r="C123" t="s">
        <v>365</v>
      </c>
      <c r="D123" t="s">
        <v>78</v>
      </c>
      <c r="E123" s="1">
        <v>45838</v>
      </c>
      <c r="F123" s="1">
        <v>46173</v>
      </c>
      <c r="G123" t="s">
        <v>366</v>
      </c>
      <c r="H123" t="s">
        <v>23</v>
      </c>
      <c r="J123">
        <v>7</v>
      </c>
      <c r="K123">
        <f t="shared" si="1"/>
        <v>3.2083600696672472E-3</v>
      </c>
    </row>
    <row r="124" spans="1:11" x14ac:dyDescent="0.3">
      <c r="A124" t="s">
        <v>367</v>
      </c>
      <c r="B124" t="s">
        <v>147</v>
      </c>
      <c r="C124" t="s">
        <v>368</v>
      </c>
      <c r="D124" t="s">
        <v>149</v>
      </c>
      <c r="E124" s="1">
        <v>45852</v>
      </c>
      <c r="F124" s="1">
        <v>46065</v>
      </c>
      <c r="G124" t="s">
        <v>369</v>
      </c>
      <c r="H124" t="s">
        <v>23</v>
      </c>
      <c r="J124">
        <v>1</v>
      </c>
      <c r="K124">
        <f t="shared" si="1"/>
        <v>4.5833715280960672E-4</v>
      </c>
    </row>
    <row r="125" spans="1:11" x14ac:dyDescent="0.3">
      <c r="A125" t="s">
        <v>370</v>
      </c>
      <c r="B125" t="s">
        <v>371</v>
      </c>
      <c r="C125" t="s">
        <v>372</v>
      </c>
      <c r="D125" t="s">
        <v>153</v>
      </c>
      <c r="E125" s="1">
        <v>45138</v>
      </c>
      <c r="F125" s="1">
        <v>46061</v>
      </c>
      <c r="G125" t="s">
        <v>373</v>
      </c>
      <c r="H125" t="s">
        <v>23</v>
      </c>
      <c r="J125">
        <v>0</v>
      </c>
      <c r="K125">
        <f t="shared" si="1"/>
        <v>0</v>
      </c>
    </row>
    <row r="126" spans="1:11" x14ac:dyDescent="0.3">
      <c r="A126" t="s">
        <v>374</v>
      </c>
      <c r="B126" t="s">
        <v>371</v>
      </c>
      <c r="C126" t="s">
        <v>375</v>
      </c>
      <c r="D126" t="s">
        <v>153</v>
      </c>
      <c r="E126" s="1">
        <v>45166</v>
      </c>
      <c r="F126" s="1">
        <v>46052</v>
      </c>
      <c r="G126" t="s">
        <v>376</v>
      </c>
      <c r="H126" t="s">
        <v>23</v>
      </c>
      <c r="J126">
        <v>0</v>
      </c>
      <c r="K126">
        <f t="shared" si="1"/>
        <v>0</v>
      </c>
    </row>
    <row r="127" spans="1:11" x14ac:dyDescent="0.3">
      <c r="A127" t="s">
        <v>377</v>
      </c>
      <c r="B127" t="s">
        <v>95</v>
      </c>
      <c r="C127" t="s">
        <v>378</v>
      </c>
      <c r="D127" t="s">
        <v>10</v>
      </c>
      <c r="E127" s="1">
        <v>45137</v>
      </c>
      <c r="F127" s="1">
        <v>46085</v>
      </c>
      <c r="G127" t="s">
        <v>379</v>
      </c>
      <c r="H127" t="s">
        <v>23</v>
      </c>
      <c r="J127">
        <v>40</v>
      </c>
      <c r="K127">
        <f t="shared" si="1"/>
        <v>1.8333486112384268E-2</v>
      </c>
    </row>
    <row r="128" spans="1:11" x14ac:dyDescent="0.3">
      <c r="A128" t="s">
        <v>380</v>
      </c>
      <c r="B128" t="s">
        <v>133</v>
      </c>
      <c r="C128" t="s">
        <v>381</v>
      </c>
      <c r="D128" t="s">
        <v>153</v>
      </c>
      <c r="E128" s="1">
        <v>45166</v>
      </c>
      <c r="F128" s="1">
        <v>46030</v>
      </c>
      <c r="G128" t="s">
        <v>382</v>
      </c>
      <c r="H128" t="s">
        <v>23</v>
      </c>
      <c r="J128">
        <v>22</v>
      </c>
      <c r="K128">
        <f t="shared" si="1"/>
        <v>1.0083417361811347E-2</v>
      </c>
    </row>
    <row r="129" spans="1:11" x14ac:dyDescent="0.3">
      <c r="A129" t="s">
        <v>383</v>
      </c>
      <c r="B129" t="s">
        <v>137</v>
      </c>
      <c r="C129" t="s">
        <v>384</v>
      </c>
      <c r="D129" t="s">
        <v>56</v>
      </c>
      <c r="E129" s="1">
        <v>45257</v>
      </c>
      <c r="F129" s="1">
        <v>46089</v>
      </c>
      <c r="G129" t="s">
        <v>385</v>
      </c>
      <c r="H129" t="s">
        <v>23</v>
      </c>
      <c r="J129">
        <v>4</v>
      </c>
      <c r="K129">
        <f t="shared" si="1"/>
        <v>1.8333486112384269E-3</v>
      </c>
    </row>
    <row r="130" spans="1:11" x14ac:dyDescent="0.3">
      <c r="A130" t="s">
        <v>386</v>
      </c>
      <c r="B130" t="s">
        <v>70</v>
      </c>
      <c r="C130" t="s">
        <v>71</v>
      </c>
      <c r="D130" t="s">
        <v>78</v>
      </c>
      <c r="E130" s="1">
        <v>45831</v>
      </c>
      <c r="F130" s="1">
        <v>46077</v>
      </c>
      <c r="G130" t="s">
        <v>387</v>
      </c>
      <c r="H130" t="s">
        <v>23</v>
      </c>
      <c r="J130">
        <v>11</v>
      </c>
      <c r="K130">
        <f t="shared" si="1"/>
        <v>5.0417086809056736E-3</v>
      </c>
    </row>
    <row r="131" spans="1:11" x14ac:dyDescent="0.3">
      <c r="A131" t="s">
        <v>388</v>
      </c>
      <c r="B131" t="s">
        <v>70</v>
      </c>
      <c r="C131" t="s">
        <v>71</v>
      </c>
      <c r="D131" t="s">
        <v>149</v>
      </c>
      <c r="E131" s="1">
        <v>45761</v>
      </c>
      <c r="F131" s="1">
        <v>46040</v>
      </c>
      <c r="G131" t="s">
        <v>389</v>
      </c>
      <c r="H131" t="s">
        <v>23</v>
      </c>
      <c r="J131">
        <v>5.2</v>
      </c>
      <c r="K131">
        <f t="shared" si="1"/>
        <v>2.3833531946099548E-3</v>
      </c>
    </row>
    <row r="132" spans="1:11" x14ac:dyDescent="0.3">
      <c r="A132" t="s">
        <v>390</v>
      </c>
      <c r="B132" t="s">
        <v>391</v>
      </c>
      <c r="C132" t="s">
        <v>392</v>
      </c>
      <c r="D132" t="s">
        <v>393</v>
      </c>
      <c r="E132" s="1">
        <v>45544</v>
      </c>
      <c r="F132" s="1">
        <v>46082</v>
      </c>
      <c r="G132" t="s">
        <v>394</v>
      </c>
      <c r="H132" t="s">
        <v>23</v>
      </c>
      <c r="J132">
        <v>0</v>
      </c>
      <c r="K132">
        <f t="shared" si="1"/>
        <v>0</v>
      </c>
    </row>
    <row r="133" spans="1:11" x14ac:dyDescent="0.3">
      <c r="A133" t="s">
        <v>395</v>
      </c>
      <c r="B133" t="s">
        <v>133</v>
      </c>
      <c r="C133" t="s">
        <v>396</v>
      </c>
      <c r="D133" t="s">
        <v>393</v>
      </c>
      <c r="E133" s="1">
        <v>45754</v>
      </c>
      <c r="F133" s="1">
        <v>45872</v>
      </c>
      <c r="G133" t="s">
        <v>397</v>
      </c>
      <c r="H133" t="s">
        <v>23</v>
      </c>
      <c r="J133">
        <v>0</v>
      </c>
      <c r="K133">
        <f t="shared" si="1"/>
        <v>0</v>
      </c>
    </row>
    <row r="134" spans="1:11" x14ac:dyDescent="0.3">
      <c r="A134" t="s">
        <v>398</v>
      </c>
      <c r="B134" t="s">
        <v>110</v>
      </c>
      <c r="C134" t="s">
        <v>111</v>
      </c>
      <c r="D134" t="s">
        <v>21</v>
      </c>
      <c r="E134" s="1">
        <v>44613</v>
      </c>
      <c r="F134" s="1">
        <v>46009</v>
      </c>
      <c r="G134" t="s">
        <v>399</v>
      </c>
      <c r="H134" t="s">
        <v>23</v>
      </c>
      <c r="J134">
        <v>0</v>
      </c>
      <c r="K134">
        <f t="shared" si="1"/>
        <v>0</v>
      </c>
    </row>
    <row r="135" spans="1:11" x14ac:dyDescent="0.3">
      <c r="A135" t="s">
        <v>400</v>
      </c>
      <c r="B135" t="s">
        <v>104</v>
      </c>
      <c r="C135" t="s">
        <v>104</v>
      </c>
      <c r="D135" t="s">
        <v>21</v>
      </c>
      <c r="E135" s="1">
        <v>45166</v>
      </c>
      <c r="F135" s="1">
        <v>46037</v>
      </c>
      <c r="G135" t="s">
        <v>401</v>
      </c>
      <c r="H135" t="s">
        <v>23</v>
      </c>
      <c r="J135">
        <v>0</v>
      </c>
      <c r="K135">
        <f t="shared" ref="K135:K198" si="2">J135/$J$221</f>
        <v>0</v>
      </c>
    </row>
    <row r="136" spans="1:11" x14ac:dyDescent="0.3">
      <c r="A136" t="s">
        <v>402</v>
      </c>
      <c r="B136" t="s">
        <v>403</v>
      </c>
      <c r="C136" t="s">
        <v>403</v>
      </c>
      <c r="D136" t="s">
        <v>153</v>
      </c>
      <c r="E136" s="1">
        <v>45852</v>
      </c>
      <c r="F136" s="1">
        <v>45919</v>
      </c>
      <c r="G136" t="s">
        <v>404</v>
      </c>
      <c r="H136" t="s">
        <v>23</v>
      </c>
      <c r="J136">
        <v>40</v>
      </c>
      <c r="K136">
        <f t="shared" si="2"/>
        <v>1.8333486112384268E-2</v>
      </c>
    </row>
    <row r="137" spans="1:11" x14ac:dyDescent="0.3">
      <c r="A137" t="s">
        <v>405</v>
      </c>
      <c r="B137" t="s">
        <v>85</v>
      </c>
      <c r="C137" t="s">
        <v>406</v>
      </c>
      <c r="D137" t="s">
        <v>228</v>
      </c>
      <c r="E137" s="1">
        <v>45565</v>
      </c>
      <c r="F137" s="1">
        <v>46031</v>
      </c>
      <c r="G137" t="s">
        <v>407</v>
      </c>
      <c r="H137" t="s">
        <v>23</v>
      </c>
      <c r="J137">
        <v>0</v>
      </c>
      <c r="K137">
        <f t="shared" si="2"/>
        <v>0</v>
      </c>
    </row>
    <row r="138" spans="1:11" x14ac:dyDescent="0.3">
      <c r="A138" t="s">
        <v>408</v>
      </c>
      <c r="B138" t="s">
        <v>403</v>
      </c>
      <c r="C138" t="s">
        <v>409</v>
      </c>
      <c r="D138" t="s">
        <v>153</v>
      </c>
      <c r="E138" s="1">
        <v>45565</v>
      </c>
      <c r="F138" s="1">
        <v>46066</v>
      </c>
      <c r="G138" t="s">
        <v>410</v>
      </c>
      <c r="H138" t="s">
        <v>23</v>
      </c>
      <c r="J138">
        <v>0</v>
      </c>
      <c r="K138">
        <f t="shared" si="2"/>
        <v>0</v>
      </c>
    </row>
    <row r="139" spans="1:11" x14ac:dyDescent="0.3">
      <c r="A139" t="s">
        <v>411</v>
      </c>
      <c r="B139" t="s">
        <v>241</v>
      </c>
      <c r="C139" t="s">
        <v>412</v>
      </c>
      <c r="D139" t="s">
        <v>149</v>
      </c>
      <c r="E139" s="1">
        <v>45474</v>
      </c>
      <c r="F139" s="1">
        <v>45917</v>
      </c>
      <c r="G139" t="s">
        <v>413</v>
      </c>
      <c r="H139" t="s">
        <v>23</v>
      </c>
      <c r="J139">
        <v>0</v>
      </c>
      <c r="K139">
        <f t="shared" si="2"/>
        <v>0</v>
      </c>
    </row>
    <row r="140" spans="1:11" x14ac:dyDescent="0.3">
      <c r="A140" t="s">
        <v>414</v>
      </c>
      <c r="B140" t="s">
        <v>70</v>
      </c>
      <c r="C140" t="s">
        <v>71</v>
      </c>
      <c r="D140" t="s">
        <v>163</v>
      </c>
      <c r="E140" s="1">
        <v>45803</v>
      </c>
      <c r="F140" s="1">
        <v>46052</v>
      </c>
      <c r="G140" t="s">
        <v>415</v>
      </c>
      <c r="H140" t="s">
        <v>23</v>
      </c>
      <c r="J140">
        <v>6.1</v>
      </c>
      <c r="K140">
        <f t="shared" si="2"/>
        <v>2.7958566321386008E-3</v>
      </c>
    </row>
    <row r="141" spans="1:11" x14ac:dyDescent="0.3">
      <c r="A141" t="s">
        <v>416</v>
      </c>
      <c r="B141" t="s">
        <v>104</v>
      </c>
      <c r="C141" t="s">
        <v>104</v>
      </c>
      <c r="D141" t="s">
        <v>46</v>
      </c>
      <c r="E141" s="1">
        <v>45838</v>
      </c>
      <c r="F141" s="1">
        <v>45959</v>
      </c>
      <c r="G141" t="s">
        <v>417</v>
      </c>
      <c r="H141" t="s">
        <v>23</v>
      </c>
      <c r="J141">
        <v>15</v>
      </c>
      <c r="K141">
        <f t="shared" si="2"/>
        <v>6.875057292144101E-3</v>
      </c>
    </row>
    <row r="142" spans="1:11" x14ac:dyDescent="0.3">
      <c r="A142" t="s">
        <v>418</v>
      </c>
      <c r="B142" t="s">
        <v>81</v>
      </c>
      <c r="C142" t="s">
        <v>81</v>
      </c>
      <c r="D142" t="s">
        <v>419</v>
      </c>
      <c r="E142" s="1">
        <v>45495</v>
      </c>
      <c r="F142" s="1">
        <v>46022</v>
      </c>
      <c r="G142" t="s">
        <v>420</v>
      </c>
      <c r="H142" t="s">
        <v>23</v>
      </c>
      <c r="J142">
        <v>0</v>
      </c>
      <c r="K142">
        <f t="shared" si="2"/>
        <v>0</v>
      </c>
    </row>
    <row r="143" spans="1:11" x14ac:dyDescent="0.3">
      <c r="A143" t="s">
        <v>421</v>
      </c>
      <c r="B143" t="s">
        <v>70</v>
      </c>
      <c r="C143" t="s">
        <v>71</v>
      </c>
      <c r="D143" t="s">
        <v>101</v>
      </c>
      <c r="E143" s="1">
        <v>45803</v>
      </c>
      <c r="F143" s="1">
        <v>45972</v>
      </c>
      <c r="G143" t="s">
        <v>422</v>
      </c>
      <c r="H143" t="s">
        <v>23</v>
      </c>
      <c r="J143">
        <v>0</v>
      </c>
      <c r="K143">
        <f t="shared" si="2"/>
        <v>0</v>
      </c>
    </row>
    <row r="144" spans="1:11" x14ac:dyDescent="0.3">
      <c r="A144" t="s">
        <v>423</v>
      </c>
      <c r="B144" t="s">
        <v>152</v>
      </c>
      <c r="C144" t="s">
        <v>424</v>
      </c>
      <c r="D144" t="s">
        <v>419</v>
      </c>
      <c r="E144" s="1">
        <v>45201</v>
      </c>
      <c r="F144" s="1">
        <v>46022</v>
      </c>
      <c r="G144" t="s">
        <v>425</v>
      </c>
      <c r="H144" t="s">
        <v>23</v>
      </c>
      <c r="J144">
        <v>4</v>
      </c>
      <c r="K144">
        <f t="shared" si="2"/>
        <v>1.8333486112384269E-3</v>
      </c>
    </row>
    <row r="145" spans="1:11" x14ac:dyDescent="0.3">
      <c r="A145" t="s">
        <v>426</v>
      </c>
      <c r="B145" t="s">
        <v>427</v>
      </c>
      <c r="C145" t="s">
        <v>427</v>
      </c>
      <c r="D145" t="s">
        <v>153</v>
      </c>
      <c r="E145" s="1">
        <v>45866</v>
      </c>
      <c r="F145" s="1">
        <v>45902</v>
      </c>
      <c r="G145" t="s">
        <v>428</v>
      </c>
      <c r="H145" t="s">
        <v>23</v>
      </c>
      <c r="J145">
        <v>16</v>
      </c>
      <c r="K145">
        <f t="shared" si="2"/>
        <v>7.3333944449537076E-3</v>
      </c>
    </row>
    <row r="146" spans="1:11" x14ac:dyDescent="0.3">
      <c r="A146" t="s">
        <v>429</v>
      </c>
      <c r="B146" t="s">
        <v>205</v>
      </c>
      <c r="C146" t="s">
        <v>430</v>
      </c>
      <c r="D146" t="s">
        <v>153</v>
      </c>
      <c r="E146" s="1">
        <v>45566</v>
      </c>
      <c r="F146" s="1">
        <v>45870</v>
      </c>
      <c r="G146" t="s">
        <v>431</v>
      </c>
      <c r="H146" t="s">
        <v>23</v>
      </c>
      <c r="J146">
        <v>8</v>
      </c>
      <c r="K146">
        <f t="shared" si="2"/>
        <v>3.6666972224768538E-3</v>
      </c>
    </row>
    <row r="147" spans="1:11" x14ac:dyDescent="0.3">
      <c r="A147" t="s">
        <v>432</v>
      </c>
      <c r="B147" t="s">
        <v>427</v>
      </c>
      <c r="C147" t="s">
        <v>433</v>
      </c>
      <c r="D147" t="s">
        <v>153</v>
      </c>
      <c r="E147" s="1">
        <v>45712</v>
      </c>
      <c r="F147" s="1">
        <v>46022</v>
      </c>
      <c r="G147" t="s">
        <v>434</v>
      </c>
      <c r="H147" t="s">
        <v>23</v>
      </c>
      <c r="J147">
        <v>8</v>
      </c>
      <c r="K147">
        <f t="shared" si="2"/>
        <v>3.6666972224768538E-3</v>
      </c>
    </row>
    <row r="148" spans="1:11" x14ac:dyDescent="0.3">
      <c r="A148" t="s">
        <v>435</v>
      </c>
      <c r="B148" t="s">
        <v>427</v>
      </c>
      <c r="C148" t="s">
        <v>436</v>
      </c>
      <c r="D148" t="s">
        <v>437</v>
      </c>
      <c r="E148" s="1">
        <v>45760</v>
      </c>
      <c r="F148" s="1">
        <v>46081</v>
      </c>
      <c r="G148" t="s">
        <v>438</v>
      </c>
      <c r="H148" t="s">
        <v>23</v>
      </c>
      <c r="J148">
        <v>8</v>
      </c>
      <c r="K148">
        <f t="shared" si="2"/>
        <v>3.6666972224768538E-3</v>
      </c>
    </row>
    <row r="149" spans="1:11" x14ac:dyDescent="0.3">
      <c r="A149" t="s">
        <v>439</v>
      </c>
      <c r="B149" t="s">
        <v>440</v>
      </c>
      <c r="C149" t="s">
        <v>441</v>
      </c>
      <c r="D149" t="s">
        <v>64</v>
      </c>
      <c r="E149" s="1">
        <v>45866</v>
      </c>
      <c r="F149" s="1">
        <v>45924</v>
      </c>
      <c r="G149" t="s">
        <v>442</v>
      </c>
      <c r="H149" t="s">
        <v>23</v>
      </c>
      <c r="J149">
        <v>10</v>
      </c>
      <c r="K149">
        <f t="shared" si="2"/>
        <v>4.583371528096067E-3</v>
      </c>
    </row>
    <row r="150" spans="1:11" x14ac:dyDescent="0.3">
      <c r="A150" t="s">
        <v>443</v>
      </c>
      <c r="B150" t="s">
        <v>198</v>
      </c>
      <c r="C150" t="s">
        <v>444</v>
      </c>
      <c r="D150" t="s">
        <v>393</v>
      </c>
      <c r="E150" s="1">
        <v>45845</v>
      </c>
      <c r="F150" s="1">
        <v>46242</v>
      </c>
      <c r="G150" t="s">
        <v>445</v>
      </c>
      <c r="H150" t="s">
        <v>23</v>
      </c>
      <c r="J150">
        <v>11</v>
      </c>
      <c r="K150">
        <f t="shared" si="2"/>
        <v>5.0417086809056736E-3</v>
      </c>
    </row>
    <row r="151" spans="1:11" x14ac:dyDescent="0.3">
      <c r="A151" t="s">
        <v>446</v>
      </c>
      <c r="B151" t="s">
        <v>81</v>
      </c>
      <c r="C151" t="s">
        <v>92</v>
      </c>
      <c r="D151" t="s">
        <v>153</v>
      </c>
      <c r="E151" s="1">
        <v>45299</v>
      </c>
      <c r="F151" s="1">
        <v>46387</v>
      </c>
      <c r="G151" t="s">
        <v>447</v>
      </c>
      <c r="H151" t="s">
        <v>23</v>
      </c>
      <c r="J151">
        <v>0</v>
      </c>
      <c r="K151">
        <f t="shared" si="2"/>
        <v>0</v>
      </c>
    </row>
    <row r="152" spans="1:11" x14ac:dyDescent="0.3">
      <c r="A152" t="s">
        <v>448</v>
      </c>
      <c r="B152" t="s">
        <v>81</v>
      </c>
      <c r="C152" t="s">
        <v>81</v>
      </c>
      <c r="D152" t="s">
        <v>21</v>
      </c>
      <c r="E152" s="1">
        <v>45460</v>
      </c>
      <c r="F152" s="1">
        <v>46387</v>
      </c>
      <c r="G152" t="s">
        <v>449</v>
      </c>
      <c r="H152" t="s">
        <v>23</v>
      </c>
      <c r="J152">
        <v>0</v>
      </c>
      <c r="K152">
        <f t="shared" si="2"/>
        <v>0</v>
      </c>
    </row>
    <row r="153" spans="1:11" x14ac:dyDescent="0.3">
      <c r="A153" t="s">
        <v>450</v>
      </c>
      <c r="B153" t="s">
        <v>44</v>
      </c>
      <c r="C153" t="s">
        <v>44</v>
      </c>
      <c r="D153" t="s">
        <v>199</v>
      </c>
      <c r="E153" s="1">
        <v>45831</v>
      </c>
      <c r="F153" s="1">
        <v>46027</v>
      </c>
      <c r="G153" t="s">
        <v>451</v>
      </c>
      <c r="H153" t="s">
        <v>23</v>
      </c>
      <c r="J153">
        <v>2.5</v>
      </c>
      <c r="K153">
        <f t="shared" si="2"/>
        <v>1.1458428820240168E-3</v>
      </c>
    </row>
    <row r="154" spans="1:11" x14ac:dyDescent="0.3">
      <c r="A154" t="s">
        <v>452</v>
      </c>
      <c r="B154" t="s">
        <v>198</v>
      </c>
      <c r="C154" t="s">
        <v>198</v>
      </c>
      <c r="D154" t="s">
        <v>453</v>
      </c>
      <c r="E154" s="1">
        <v>45705</v>
      </c>
      <c r="F154" s="1">
        <v>46387</v>
      </c>
      <c r="G154" t="s">
        <v>454</v>
      </c>
      <c r="H154" t="s">
        <v>23</v>
      </c>
      <c r="J154">
        <v>8</v>
      </c>
      <c r="K154">
        <f t="shared" si="2"/>
        <v>3.6666972224768538E-3</v>
      </c>
    </row>
    <row r="155" spans="1:11" x14ac:dyDescent="0.3">
      <c r="A155" t="s">
        <v>455</v>
      </c>
      <c r="B155" t="s">
        <v>198</v>
      </c>
      <c r="C155" t="s">
        <v>198</v>
      </c>
      <c r="D155" t="s">
        <v>453</v>
      </c>
      <c r="E155" s="1">
        <v>45649</v>
      </c>
      <c r="F155" s="1">
        <v>45906</v>
      </c>
      <c r="G155" t="s">
        <v>456</v>
      </c>
      <c r="H155" t="s">
        <v>23</v>
      </c>
      <c r="J155">
        <v>2</v>
      </c>
      <c r="K155">
        <f t="shared" si="2"/>
        <v>9.1667430561921345E-4</v>
      </c>
    </row>
    <row r="156" spans="1:11" x14ac:dyDescent="0.3">
      <c r="A156" t="s">
        <v>457</v>
      </c>
      <c r="B156" t="s">
        <v>458</v>
      </c>
      <c r="C156" t="s">
        <v>458</v>
      </c>
      <c r="D156" t="s">
        <v>21</v>
      </c>
      <c r="E156" s="1">
        <v>45859</v>
      </c>
      <c r="F156" s="1">
        <v>45891</v>
      </c>
      <c r="G156" t="s">
        <v>459</v>
      </c>
      <c r="H156" t="s">
        <v>23</v>
      </c>
      <c r="J156">
        <v>2</v>
      </c>
      <c r="K156">
        <f t="shared" si="2"/>
        <v>9.1667430561921345E-4</v>
      </c>
    </row>
    <row r="157" spans="1:11" x14ac:dyDescent="0.3">
      <c r="A157" t="s">
        <v>460</v>
      </c>
      <c r="B157" t="s">
        <v>458</v>
      </c>
      <c r="C157" t="s">
        <v>458</v>
      </c>
      <c r="D157" t="s">
        <v>21</v>
      </c>
      <c r="E157" s="1">
        <v>45838</v>
      </c>
      <c r="F157" s="1">
        <v>45870</v>
      </c>
      <c r="G157" t="s">
        <v>461</v>
      </c>
      <c r="H157" t="s">
        <v>23</v>
      </c>
      <c r="J157">
        <v>0</v>
      </c>
      <c r="K157">
        <f t="shared" si="2"/>
        <v>0</v>
      </c>
    </row>
    <row r="158" spans="1:11" x14ac:dyDescent="0.3">
      <c r="A158" t="s">
        <v>462</v>
      </c>
      <c r="B158" t="s">
        <v>458</v>
      </c>
      <c r="C158" t="s">
        <v>458</v>
      </c>
      <c r="D158" t="s">
        <v>21</v>
      </c>
      <c r="E158" s="1">
        <v>45166</v>
      </c>
      <c r="F158" s="1">
        <v>46387</v>
      </c>
      <c r="G158" t="s">
        <v>463</v>
      </c>
      <c r="H158" t="s">
        <v>23</v>
      </c>
      <c r="J158">
        <v>0</v>
      </c>
      <c r="K158">
        <f t="shared" si="2"/>
        <v>0</v>
      </c>
    </row>
    <row r="159" spans="1:11" x14ac:dyDescent="0.3">
      <c r="A159" t="s">
        <v>464</v>
      </c>
      <c r="B159" t="s">
        <v>458</v>
      </c>
      <c r="C159" t="s">
        <v>458</v>
      </c>
      <c r="D159" t="s">
        <v>10</v>
      </c>
      <c r="E159" s="1">
        <v>45845</v>
      </c>
      <c r="F159" s="1">
        <v>45877</v>
      </c>
      <c r="G159" t="s">
        <v>465</v>
      </c>
      <c r="H159" t="s">
        <v>23</v>
      </c>
      <c r="J159">
        <v>0</v>
      </c>
      <c r="K159">
        <f t="shared" si="2"/>
        <v>0</v>
      </c>
    </row>
    <row r="160" spans="1:11" x14ac:dyDescent="0.3">
      <c r="A160" t="s">
        <v>466</v>
      </c>
      <c r="B160" t="s">
        <v>458</v>
      </c>
      <c r="C160" t="s">
        <v>467</v>
      </c>
      <c r="D160" t="s">
        <v>10</v>
      </c>
      <c r="E160" s="1">
        <v>45782</v>
      </c>
      <c r="F160" s="1">
        <v>46005</v>
      </c>
      <c r="G160" t="s">
        <v>468</v>
      </c>
      <c r="H160" t="s">
        <v>23</v>
      </c>
      <c r="J160">
        <v>29</v>
      </c>
      <c r="K160">
        <f t="shared" si="2"/>
        <v>1.3291777431478595E-2</v>
      </c>
    </row>
    <row r="161" spans="1:11" x14ac:dyDescent="0.3">
      <c r="A161" t="s">
        <v>469</v>
      </c>
      <c r="B161" t="s">
        <v>124</v>
      </c>
      <c r="C161" t="s">
        <v>470</v>
      </c>
      <c r="D161" t="s">
        <v>471</v>
      </c>
      <c r="E161" s="1">
        <v>45166</v>
      </c>
      <c r="F161" s="1">
        <v>46085</v>
      </c>
      <c r="G161" t="s">
        <v>472</v>
      </c>
      <c r="H161" t="s">
        <v>23</v>
      </c>
      <c r="J161">
        <v>42</v>
      </c>
      <c r="K161">
        <f t="shared" si="2"/>
        <v>1.9250160418003481E-2</v>
      </c>
    </row>
    <row r="162" spans="1:11" x14ac:dyDescent="0.3">
      <c r="A162" t="s">
        <v>473</v>
      </c>
      <c r="B162" t="s">
        <v>124</v>
      </c>
      <c r="C162" t="s">
        <v>474</v>
      </c>
      <c r="D162" t="s">
        <v>471</v>
      </c>
      <c r="E162" s="1">
        <v>45166</v>
      </c>
      <c r="F162" s="1">
        <v>46086</v>
      </c>
      <c r="G162" t="s">
        <v>475</v>
      </c>
      <c r="H162" t="s">
        <v>23</v>
      </c>
      <c r="J162">
        <v>10</v>
      </c>
      <c r="K162">
        <f t="shared" si="2"/>
        <v>4.583371528096067E-3</v>
      </c>
    </row>
    <row r="163" spans="1:11" x14ac:dyDescent="0.3">
      <c r="A163" t="s">
        <v>476</v>
      </c>
      <c r="B163" t="s">
        <v>124</v>
      </c>
      <c r="C163" t="s">
        <v>477</v>
      </c>
      <c r="D163" t="s">
        <v>471</v>
      </c>
      <c r="E163" s="1">
        <v>45467</v>
      </c>
      <c r="F163" s="1">
        <v>46022</v>
      </c>
      <c r="G163" t="s">
        <v>478</v>
      </c>
      <c r="H163" t="s">
        <v>23</v>
      </c>
      <c r="J163">
        <v>0</v>
      </c>
      <c r="K163">
        <f t="shared" si="2"/>
        <v>0</v>
      </c>
    </row>
    <row r="164" spans="1:11" x14ac:dyDescent="0.3">
      <c r="A164" t="s">
        <v>479</v>
      </c>
      <c r="B164" t="s">
        <v>81</v>
      </c>
      <c r="C164" t="s">
        <v>82</v>
      </c>
      <c r="D164" t="s">
        <v>46</v>
      </c>
      <c r="E164" s="1">
        <v>45817</v>
      </c>
      <c r="F164" s="1">
        <v>46387</v>
      </c>
      <c r="G164" t="s">
        <v>480</v>
      </c>
      <c r="H164" t="s">
        <v>23</v>
      </c>
      <c r="J164">
        <v>29</v>
      </c>
      <c r="K164">
        <f t="shared" si="2"/>
        <v>1.3291777431478595E-2</v>
      </c>
    </row>
    <row r="165" spans="1:11" x14ac:dyDescent="0.3">
      <c r="A165" t="s">
        <v>481</v>
      </c>
      <c r="B165" t="s">
        <v>44</v>
      </c>
      <c r="C165" t="s">
        <v>44</v>
      </c>
      <c r="D165" t="s">
        <v>46</v>
      </c>
      <c r="E165" s="1">
        <v>45839</v>
      </c>
      <c r="F165" s="1">
        <v>46203</v>
      </c>
      <c r="G165" t="s">
        <v>482</v>
      </c>
      <c r="H165" t="s">
        <v>23</v>
      </c>
      <c r="J165">
        <v>6</v>
      </c>
      <c r="K165">
        <f t="shared" si="2"/>
        <v>2.7500229168576401E-3</v>
      </c>
    </row>
    <row r="166" spans="1:11" x14ac:dyDescent="0.3">
      <c r="A166" t="s">
        <v>483</v>
      </c>
      <c r="B166" t="s">
        <v>440</v>
      </c>
      <c r="C166" t="s">
        <v>484</v>
      </c>
      <c r="D166" t="s">
        <v>190</v>
      </c>
      <c r="E166" s="1">
        <v>45754</v>
      </c>
      <c r="F166" s="1">
        <v>46008</v>
      </c>
      <c r="G166" t="s">
        <v>485</v>
      </c>
      <c r="H166" t="s">
        <v>23</v>
      </c>
      <c r="J166">
        <v>33</v>
      </c>
      <c r="K166">
        <f t="shared" si="2"/>
        <v>1.5125126042717022E-2</v>
      </c>
    </row>
    <row r="167" spans="1:11" x14ac:dyDescent="0.3">
      <c r="A167" t="s">
        <v>486</v>
      </c>
      <c r="B167" t="s">
        <v>81</v>
      </c>
      <c r="C167" t="s">
        <v>92</v>
      </c>
      <c r="D167" t="s">
        <v>437</v>
      </c>
      <c r="E167" s="1">
        <v>45705</v>
      </c>
      <c r="F167" s="1">
        <v>45900</v>
      </c>
      <c r="G167" t="s">
        <v>487</v>
      </c>
      <c r="H167" t="s">
        <v>23</v>
      </c>
      <c r="J167">
        <v>0</v>
      </c>
      <c r="K167">
        <f t="shared" si="2"/>
        <v>0</v>
      </c>
    </row>
    <row r="168" spans="1:11" x14ac:dyDescent="0.3">
      <c r="A168" t="s">
        <v>488</v>
      </c>
      <c r="B168" t="s">
        <v>110</v>
      </c>
      <c r="C168" t="s">
        <v>489</v>
      </c>
      <c r="D168" t="s">
        <v>21</v>
      </c>
      <c r="E168" s="1">
        <v>45700</v>
      </c>
      <c r="F168" s="1">
        <v>46078</v>
      </c>
      <c r="G168" t="s">
        <v>490</v>
      </c>
      <c r="H168" t="s">
        <v>23</v>
      </c>
      <c r="J168">
        <v>40</v>
      </c>
      <c r="K168">
        <f t="shared" si="2"/>
        <v>1.8333486112384268E-2</v>
      </c>
    </row>
    <row r="169" spans="1:11" x14ac:dyDescent="0.3">
      <c r="A169" t="s">
        <v>491</v>
      </c>
      <c r="B169" t="s">
        <v>355</v>
      </c>
      <c r="C169" t="s">
        <v>492</v>
      </c>
      <c r="D169" t="s">
        <v>393</v>
      </c>
      <c r="E169" s="1">
        <v>45663</v>
      </c>
      <c r="F169" s="1">
        <v>45863</v>
      </c>
      <c r="G169" t="s">
        <v>493</v>
      </c>
      <c r="H169" t="s">
        <v>23</v>
      </c>
      <c r="J169">
        <v>0</v>
      </c>
      <c r="K169">
        <f t="shared" si="2"/>
        <v>0</v>
      </c>
    </row>
    <row r="170" spans="1:11" x14ac:dyDescent="0.3">
      <c r="A170" t="s">
        <v>494</v>
      </c>
      <c r="B170" t="s">
        <v>70</v>
      </c>
      <c r="C170" t="s">
        <v>70</v>
      </c>
      <c r="E170" s="1">
        <v>45859</v>
      </c>
      <c r="F170" s="1">
        <v>45891</v>
      </c>
      <c r="G170" t="s">
        <v>495</v>
      </c>
      <c r="H170" t="s">
        <v>23</v>
      </c>
      <c r="J170">
        <v>0</v>
      </c>
      <c r="K170">
        <f t="shared" si="2"/>
        <v>0</v>
      </c>
    </row>
    <row r="171" spans="1:11" x14ac:dyDescent="0.3">
      <c r="A171" t="s">
        <v>496</v>
      </c>
      <c r="B171" t="s">
        <v>70</v>
      </c>
      <c r="C171" t="s">
        <v>263</v>
      </c>
      <c r="D171" t="s">
        <v>437</v>
      </c>
      <c r="E171" s="1">
        <v>45845</v>
      </c>
      <c r="F171" s="1">
        <v>46062</v>
      </c>
      <c r="G171" t="s">
        <v>497</v>
      </c>
      <c r="H171" t="s">
        <v>23</v>
      </c>
      <c r="J171">
        <v>18.2</v>
      </c>
      <c r="K171">
        <f t="shared" si="2"/>
        <v>8.3417361811348421E-3</v>
      </c>
    </row>
    <row r="172" spans="1:11" x14ac:dyDescent="0.3">
      <c r="A172" t="s">
        <v>498</v>
      </c>
      <c r="B172" t="s">
        <v>499</v>
      </c>
      <c r="C172" t="s">
        <v>500</v>
      </c>
      <c r="D172" t="s">
        <v>437</v>
      </c>
      <c r="E172" s="1">
        <v>45285</v>
      </c>
      <c r="F172" s="1">
        <v>45986</v>
      </c>
      <c r="G172" t="s">
        <v>501</v>
      </c>
      <c r="H172" t="s">
        <v>23</v>
      </c>
      <c r="J172">
        <v>12</v>
      </c>
      <c r="K172">
        <f t="shared" si="2"/>
        <v>5.5000458337152803E-3</v>
      </c>
    </row>
    <row r="173" spans="1:11" x14ac:dyDescent="0.3">
      <c r="A173" t="s">
        <v>502</v>
      </c>
      <c r="B173" t="s">
        <v>70</v>
      </c>
      <c r="C173" t="s">
        <v>71</v>
      </c>
      <c r="D173" t="s">
        <v>97</v>
      </c>
      <c r="E173" s="1">
        <v>45691</v>
      </c>
      <c r="F173" s="1">
        <v>45960</v>
      </c>
      <c r="G173" t="s">
        <v>503</v>
      </c>
      <c r="H173" t="s">
        <v>23</v>
      </c>
      <c r="J173">
        <v>0.7</v>
      </c>
      <c r="K173">
        <f t="shared" si="2"/>
        <v>3.2083600696672469E-4</v>
      </c>
    </row>
    <row r="174" spans="1:11" x14ac:dyDescent="0.3">
      <c r="A174" t="s">
        <v>504</v>
      </c>
      <c r="B174" t="s">
        <v>403</v>
      </c>
      <c r="C174" t="s">
        <v>409</v>
      </c>
      <c r="D174" t="s">
        <v>153</v>
      </c>
      <c r="E174" s="1">
        <v>45726</v>
      </c>
      <c r="F174" s="1">
        <v>46022</v>
      </c>
      <c r="G174" t="s">
        <v>505</v>
      </c>
      <c r="H174" t="s">
        <v>23</v>
      </c>
      <c r="J174">
        <v>0</v>
      </c>
      <c r="K174">
        <f t="shared" si="2"/>
        <v>0</v>
      </c>
    </row>
    <row r="175" spans="1:11" x14ac:dyDescent="0.3">
      <c r="A175" t="s">
        <v>506</v>
      </c>
      <c r="B175" t="s">
        <v>403</v>
      </c>
      <c r="C175" t="s">
        <v>507</v>
      </c>
      <c r="D175" t="s">
        <v>153</v>
      </c>
      <c r="E175" s="1">
        <v>45432</v>
      </c>
      <c r="F175" s="1">
        <v>45868</v>
      </c>
      <c r="G175" t="s">
        <v>508</v>
      </c>
      <c r="H175" t="s">
        <v>23</v>
      </c>
      <c r="J175">
        <v>0</v>
      </c>
      <c r="K175">
        <f t="shared" si="2"/>
        <v>0</v>
      </c>
    </row>
    <row r="176" spans="1:11" x14ac:dyDescent="0.3">
      <c r="A176" t="s">
        <v>509</v>
      </c>
      <c r="B176" t="s">
        <v>114</v>
      </c>
      <c r="C176" t="s">
        <v>510</v>
      </c>
      <c r="D176" t="s">
        <v>21</v>
      </c>
      <c r="E176" s="1">
        <v>45838</v>
      </c>
      <c r="F176" s="1">
        <v>45894</v>
      </c>
      <c r="G176" t="s">
        <v>511</v>
      </c>
      <c r="H176" t="s">
        <v>23</v>
      </c>
      <c r="J176">
        <v>0</v>
      </c>
      <c r="K176">
        <f t="shared" si="2"/>
        <v>0</v>
      </c>
    </row>
    <row r="177" spans="1:11" x14ac:dyDescent="0.3">
      <c r="A177" t="s">
        <v>512</v>
      </c>
      <c r="B177" t="s">
        <v>44</v>
      </c>
      <c r="C177" t="s">
        <v>189</v>
      </c>
      <c r="D177" t="s">
        <v>64</v>
      </c>
      <c r="E177" s="1">
        <v>45712</v>
      </c>
      <c r="F177" s="1">
        <v>45938</v>
      </c>
      <c r="G177" t="s">
        <v>513</v>
      </c>
      <c r="H177" t="s">
        <v>23</v>
      </c>
      <c r="J177">
        <v>3</v>
      </c>
      <c r="K177">
        <f t="shared" si="2"/>
        <v>1.3750114584288201E-3</v>
      </c>
    </row>
    <row r="178" spans="1:11" x14ac:dyDescent="0.3">
      <c r="A178" t="s">
        <v>514</v>
      </c>
      <c r="B178" t="s">
        <v>49</v>
      </c>
      <c r="C178" t="s">
        <v>49</v>
      </c>
      <c r="D178" t="s">
        <v>21</v>
      </c>
      <c r="E178" s="1">
        <v>45866</v>
      </c>
      <c r="F178" s="1">
        <v>46112</v>
      </c>
      <c r="G178" t="s">
        <v>515</v>
      </c>
      <c r="H178" t="s">
        <v>23</v>
      </c>
      <c r="J178">
        <v>6</v>
      </c>
      <c r="K178">
        <f t="shared" si="2"/>
        <v>2.7500229168576401E-3</v>
      </c>
    </row>
    <row r="179" spans="1:11" x14ac:dyDescent="0.3">
      <c r="A179" t="s">
        <v>516</v>
      </c>
      <c r="B179" t="s">
        <v>44</v>
      </c>
      <c r="C179" t="s">
        <v>44</v>
      </c>
      <c r="D179" t="s">
        <v>190</v>
      </c>
      <c r="E179" s="1">
        <v>45658</v>
      </c>
      <c r="F179" s="1">
        <v>45930</v>
      </c>
      <c r="G179" t="s">
        <v>517</v>
      </c>
      <c r="H179" t="s">
        <v>23</v>
      </c>
      <c r="J179">
        <v>0</v>
      </c>
      <c r="K179">
        <f t="shared" si="2"/>
        <v>0</v>
      </c>
    </row>
    <row r="180" spans="1:11" x14ac:dyDescent="0.3">
      <c r="A180" t="s">
        <v>518</v>
      </c>
      <c r="B180" t="s">
        <v>81</v>
      </c>
      <c r="C180" t="s">
        <v>92</v>
      </c>
      <c r="D180" t="s">
        <v>21</v>
      </c>
      <c r="E180" s="1">
        <v>45166</v>
      </c>
      <c r="F180" s="1">
        <v>46387</v>
      </c>
      <c r="G180" t="s">
        <v>519</v>
      </c>
      <c r="H180" t="s">
        <v>23</v>
      </c>
      <c r="J180">
        <v>10</v>
      </c>
      <c r="K180">
        <f t="shared" si="2"/>
        <v>4.583371528096067E-3</v>
      </c>
    </row>
    <row r="181" spans="1:11" x14ac:dyDescent="0.3">
      <c r="A181" t="s">
        <v>520</v>
      </c>
      <c r="B181" t="s">
        <v>81</v>
      </c>
      <c r="C181" t="s">
        <v>521</v>
      </c>
      <c r="D181" t="s">
        <v>21</v>
      </c>
      <c r="E181" s="1">
        <v>45166</v>
      </c>
      <c r="F181" s="1">
        <v>46387</v>
      </c>
      <c r="G181" t="s">
        <v>522</v>
      </c>
      <c r="H181" t="s">
        <v>23</v>
      </c>
      <c r="J181">
        <v>12.3</v>
      </c>
      <c r="K181">
        <f t="shared" si="2"/>
        <v>5.6375469795581631E-3</v>
      </c>
    </row>
    <row r="182" spans="1:11" x14ac:dyDescent="0.3">
      <c r="A182" t="s">
        <v>523</v>
      </c>
      <c r="B182" t="s">
        <v>81</v>
      </c>
      <c r="C182" t="s">
        <v>524</v>
      </c>
      <c r="D182" t="s">
        <v>78</v>
      </c>
      <c r="E182" s="1">
        <v>45201</v>
      </c>
      <c r="F182" s="1">
        <v>46387</v>
      </c>
      <c r="G182" t="s">
        <v>525</v>
      </c>
      <c r="H182" t="s">
        <v>23</v>
      </c>
      <c r="J182">
        <v>0</v>
      </c>
      <c r="K182">
        <f t="shared" si="2"/>
        <v>0</v>
      </c>
    </row>
    <row r="183" spans="1:11" x14ac:dyDescent="0.3">
      <c r="A183" t="s">
        <v>526</v>
      </c>
      <c r="B183" t="s">
        <v>81</v>
      </c>
      <c r="C183" t="s">
        <v>521</v>
      </c>
      <c r="D183" t="s">
        <v>527</v>
      </c>
      <c r="E183" s="1">
        <v>45166</v>
      </c>
      <c r="F183" s="1">
        <v>46387</v>
      </c>
      <c r="G183" t="s">
        <v>528</v>
      </c>
      <c r="H183" t="s">
        <v>23</v>
      </c>
      <c r="J183">
        <v>24.5</v>
      </c>
      <c r="K183">
        <f t="shared" si="2"/>
        <v>1.1229260243835365E-2</v>
      </c>
    </row>
    <row r="184" spans="1:11" x14ac:dyDescent="0.3">
      <c r="A184" t="s">
        <v>529</v>
      </c>
      <c r="B184" t="s">
        <v>81</v>
      </c>
      <c r="C184" t="s">
        <v>82</v>
      </c>
      <c r="D184" t="s">
        <v>64</v>
      </c>
      <c r="E184" s="1">
        <v>45166</v>
      </c>
      <c r="F184" s="1">
        <v>46387</v>
      </c>
      <c r="G184" t="s">
        <v>530</v>
      </c>
      <c r="H184" t="s">
        <v>23</v>
      </c>
      <c r="J184">
        <v>0</v>
      </c>
      <c r="K184">
        <f t="shared" si="2"/>
        <v>0</v>
      </c>
    </row>
    <row r="185" spans="1:11" x14ac:dyDescent="0.3">
      <c r="A185" t="s">
        <v>531</v>
      </c>
      <c r="B185" t="s">
        <v>532</v>
      </c>
      <c r="C185" t="s">
        <v>533</v>
      </c>
      <c r="D185" t="s">
        <v>437</v>
      </c>
      <c r="E185" s="1">
        <v>45754</v>
      </c>
      <c r="F185" s="1">
        <v>46387</v>
      </c>
      <c r="G185" t="s">
        <v>534</v>
      </c>
      <c r="H185" t="s">
        <v>23</v>
      </c>
      <c r="J185">
        <v>23</v>
      </c>
      <c r="K185">
        <f t="shared" si="2"/>
        <v>1.0541754514620954E-2</v>
      </c>
    </row>
    <row r="186" spans="1:11" x14ac:dyDescent="0.3">
      <c r="A186" t="s">
        <v>535</v>
      </c>
      <c r="B186" t="s">
        <v>81</v>
      </c>
      <c r="C186" t="s">
        <v>82</v>
      </c>
      <c r="D186" t="s">
        <v>536</v>
      </c>
      <c r="E186" s="1">
        <v>45656</v>
      </c>
      <c r="F186" s="1">
        <v>46022</v>
      </c>
      <c r="G186" t="s">
        <v>537</v>
      </c>
      <c r="H186" t="s">
        <v>23</v>
      </c>
      <c r="J186">
        <v>0</v>
      </c>
      <c r="K186">
        <f t="shared" si="2"/>
        <v>0</v>
      </c>
    </row>
    <row r="187" spans="1:11" x14ac:dyDescent="0.3">
      <c r="A187" t="s">
        <v>538</v>
      </c>
      <c r="B187" t="s">
        <v>205</v>
      </c>
      <c r="C187" t="s">
        <v>539</v>
      </c>
      <c r="D187" t="s">
        <v>437</v>
      </c>
      <c r="E187" s="1">
        <v>45166</v>
      </c>
      <c r="F187" s="1">
        <v>46022</v>
      </c>
      <c r="G187" t="s">
        <v>540</v>
      </c>
      <c r="H187" t="s">
        <v>23</v>
      </c>
      <c r="J187">
        <v>0</v>
      </c>
      <c r="K187">
        <f t="shared" si="2"/>
        <v>0</v>
      </c>
    </row>
    <row r="188" spans="1:11" x14ac:dyDescent="0.3">
      <c r="A188" t="s">
        <v>541</v>
      </c>
      <c r="B188" t="s">
        <v>107</v>
      </c>
      <c r="C188" t="s">
        <v>107</v>
      </c>
      <c r="D188" t="s">
        <v>437</v>
      </c>
      <c r="E188" s="1">
        <v>45698</v>
      </c>
      <c r="F188" s="1">
        <v>46387</v>
      </c>
      <c r="G188" t="s">
        <v>542</v>
      </c>
      <c r="H188" t="s">
        <v>23</v>
      </c>
      <c r="J188">
        <v>1</v>
      </c>
      <c r="K188">
        <f t="shared" si="2"/>
        <v>4.5833715280960672E-4</v>
      </c>
    </row>
    <row r="189" spans="1:11" x14ac:dyDescent="0.3">
      <c r="A189" t="s">
        <v>543</v>
      </c>
      <c r="B189" t="s">
        <v>205</v>
      </c>
      <c r="C189" t="s">
        <v>544</v>
      </c>
      <c r="D189" t="s">
        <v>437</v>
      </c>
      <c r="E189" s="1">
        <v>45173</v>
      </c>
      <c r="F189" s="1">
        <v>46387</v>
      </c>
      <c r="G189" t="s">
        <v>545</v>
      </c>
      <c r="H189" t="s">
        <v>23</v>
      </c>
      <c r="J189">
        <v>6</v>
      </c>
      <c r="K189">
        <f t="shared" si="2"/>
        <v>2.7500229168576401E-3</v>
      </c>
    </row>
    <row r="190" spans="1:11" x14ac:dyDescent="0.3">
      <c r="A190" t="s">
        <v>546</v>
      </c>
      <c r="B190" t="s">
        <v>19</v>
      </c>
      <c r="C190" t="s">
        <v>41</v>
      </c>
      <c r="D190" t="s">
        <v>228</v>
      </c>
      <c r="E190" s="1">
        <v>45558</v>
      </c>
      <c r="F190" s="1">
        <v>46022</v>
      </c>
      <c r="G190" t="s">
        <v>547</v>
      </c>
      <c r="H190" t="s">
        <v>23</v>
      </c>
      <c r="J190">
        <v>0</v>
      </c>
      <c r="K190">
        <f t="shared" si="2"/>
        <v>0</v>
      </c>
    </row>
    <row r="191" spans="1:11" x14ac:dyDescent="0.3">
      <c r="A191" t="s">
        <v>548</v>
      </c>
      <c r="B191" t="s">
        <v>549</v>
      </c>
      <c r="C191" t="s">
        <v>550</v>
      </c>
      <c r="D191" t="s">
        <v>297</v>
      </c>
      <c r="E191" s="1">
        <v>45306</v>
      </c>
      <c r="F191" s="1">
        <v>46059</v>
      </c>
      <c r="G191" t="s">
        <v>551</v>
      </c>
      <c r="H191" t="s">
        <v>23</v>
      </c>
      <c r="J191">
        <v>0</v>
      </c>
      <c r="K191">
        <f t="shared" si="2"/>
        <v>0</v>
      </c>
    </row>
    <row r="192" spans="1:11" x14ac:dyDescent="0.3">
      <c r="A192" t="s">
        <v>552</v>
      </c>
      <c r="B192" t="s">
        <v>110</v>
      </c>
      <c r="C192" t="s">
        <v>489</v>
      </c>
      <c r="D192" t="s">
        <v>153</v>
      </c>
      <c r="E192" s="1">
        <v>45810</v>
      </c>
      <c r="F192" s="1">
        <v>45960</v>
      </c>
      <c r="G192" t="s">
        <v>553</v>
      </c>
      <c r="H192" t="s">
        <v>23</v>
      </c>
      <c r="J192">
        <v>0</v>
      </c>
      <c r="K192">
        <f t="shared" si="2"/>
        <v>0</v>
      </c>
    </row>
    <row r="193" spans="1:11" x14ac:dyDescent="0.3">
      <c r="A193" t="s">
        <v>554</v>
      </c>
      <c r="B193" t="s">
        <v>637</v>
      </c>
      <c r="C193" t="s">
        <v>62</v>
      </c>
      <c r="D193" t="s">
        <v>21</v>
      </c>
      <c r="E193" s="1">
        <v>45803</v>
      </c>
      <c r="F193" s="1">
        <v>46022</v>
      </c>
      <c r="G193" t="s">
        <v>555</v>
      </c>
      <c r="H193" t="s">
        <v>23</v>
      </c>
      <c r="J193">
        <v>0</v>
      </c>
      <c r="K193">
        <f t="shared" si="2"/>
        <v>0</v>
      </c>
    </row>
    <row r="194" spans="1:11" x14ac:dyDescent="0.3">
      <c r="A194" t="s">
        <v>556</v>
      </c>
      <c r="B194" t="s">
        <v>62</v>
      </c>
      <c r="C194" t="s">
        <v>63</v>
      </c>
      <c r="D194" t="s">
        <v>21</v>
      </c>
      <c r="E194" s="1">
        <v>45775</v>
      </c>
      <c r="F194" s="1">
        <v>45860</v>
      </c>
      <c r="G194" t="s">
        <v>557</v>
      </c>
      <c r="H194" t="s">
        <v>23</v>
      </c>
      <c r="J194">
        <v>0</v>
      </c>
      <c r="K194">
        <f t="shared" si="2"/>
        <v>0</v>
      </c>
    </row>
    <row r="195" spans="1:11" x14ac:dyDescent="0.3">
      <c r="A195" t="s">
        <v>558</v>
      </c>
      <c r="B195" t="s">
        <v>532</v>
      </c>
      <c r="C195" t="s">
        <v>559</v>
      </c>
      <c r="D195" t="s">
        <v>153</v>
      </c>
      <c r="E195" s="1">
        <v>45845</v>
      </c>
      <c r="F195" s="1">
        <v>46037</v>
      </c>
      <c r="G195" t="s">
        <v>560</v>
      </c>
      <c r="H195" t="s">
        <v>23</v>
      </c>
      <c r="J195">
        <v>59</v>
      </c>
      <c r="K195">
        <f t="shared" si="2"/>
        <v>2.7041892015766796E-2</v>
      </c>
    </row>
    <row r="196" spans="1:11" x14ac:dyDescent="0.3">
      <c r="A196" t="s">
        <v>561</v>
      </c>
      <c r="B196" t="s">
        <v>532</v>
      </c>
      <c r="C196" t="s">
        <v>532</v>
      </c>
      <c r="D196" t="s">
        <v>153</v>
      </c>
      <c r="E196" s="1">
        <v>45845</v>
      </c>
      <c r="F196" s="1">
        <v>46079</v>
      </c>
      <c r="G196" t="s">
        <v>562</v>
      </c>
      <c r="H196" t="s">
        <v>23</v>
      </c>
      <c r="J196">
        <v>0</v>
      </c>
      <c r="K196">
        <f t="shared" si="2"/>
        <v>0</v>
      </c>
    </row>
    <row r="197" spans="1:11" x14ac:dyDescent="0.3">
      <c r="A197" t="s">
        <v>563</v>
      </c>
      <c r="B197" t="s">
        <v>62</v>
      </c>
      <c r="C197" t="s">
        <v>564</v>
      </c>
      <c r="D197" t="s">
        <v>21</v>
      </c>
      <c r="E197" s="1">
        <v>45845</v>
      </c>
      <c r="F197" s="1">
        <v>46203</v>
      </c>
      <c r="G197" t="s">
        <v>565</v>
      </c>
      <c r="H197" t="s">
        <v>23</v>
      </c>
      <c r="J197">
        <v>20</v>
      </c>
      <c r="K197">
        <f t="shared" si="2"/>
        <v>9.166743056192134E-3</v>
      </c>
    </row>
    <row r="198" spans="1:11" x14ac:dyDescent="0.3">
      <c r="A198" t="s">
        <v>566</v>
      </c>
      <c r="B198" t="s">
        <v>81</v>
      </c>
      <c r="C198" t="s">
        <v>166</v>
      </c>
      <c r="D198" t="s">
        <v>21</v>
      </c>
      <c r="E198" s="1">
        <v>45201</v>
      </c>
      <c r="F198" s="1">
        <v>46387</v>
      </c>
      <c r="G198" t="s">
        <v>567</v>
      </c>
      <c r="H198" t="s">
        <v>23</v>
      </c>
      <c r="J198">
        <v>0</v>
      </c>
      <c r="K198">
        <f t="shared" si="2"/>
        <v>0</v>
      </c>
    </row>
    <row r="199" spans="1:11" x14ac:dyDescent="0.3">
      <c r="A199" t="s">
        <v>568</v>
      </c>
      <c r="B199" t="s">
        <v>81</v>
      </c>
      <c r="C199" t="s">
        <v>166</v>
      </c>
      <c r="D199" t="s">
        <v>97</v>
      </c>
      <c r="E199" s="1">
        <v>45313</v>
      </c>
      <c r="F199" s="1">
        <v>46387</v>
      </c>
      <c r="G199" t="s">
        <v>569</v>
      </c>
      <c r="H199" t="s">
        <v>23</v>
      </c>
      <c r="J199">
        <v>0</v>
      </c>
      <c r="K199">
        <f t="shared" ref="K199:K220" si="3">J199/$J$221</f>
        <v>0</v>
      </c>
    </row>
    <row r="200" spans="1:11" x14ac:dyDescent="0.3">
      <c r="A200" t="s">
        <v>570</v>
      </c>
      <c r="B200" t="s">
        <v>81</v>
      </c>
      <c r="C200" t="s">
        <v>81</v>
      </c>
      <c r="D200" t="s">
        <v>64</v>
      </c>
      <c r="E200" s="1">
        <v>45481</v>
      </c>
      <c r="F200" s="1">
        <v>46387</v>
      </c>
      <c r="G200" t="s">
        <v>571</v>
      </c>
      <c r="H200" t="s">
        <v>23</v>
      </c>
      <c r="J200">
        <v>0</v>
      </c>
      <c r="K200">
        <f t="shared" si="3"/>
        <v>0</v>
      </c>
    </row>
    <row r="201" spans="1:11" x14ac:dyDescent="0.3">
      <c r="A201" t="s">
        <v>572</v>
      </c>
      <c r="B201" t="s">
        <v>573</v>
      </c>
      <c r="C201" t="s">
        <v>574</v>
      </c>
      <c r="D201" t="s">
        <v>46</v>
      </c>
      <c r="E201" s="1">
        <v>45139</v>
      </c>
      <c r="F201" s="1">
        <v>46387</v>
      </c>
      <c r="G201" t="s">
        <v>575</v>
      </c>
      <c r="H201" t="s">
        <v>23</v>
      </c>
      <c r="J201">
        <v>6</v>
      </c>
      <c r="K201">
        <f t="shared" si="3"/>
        <v>2.7500229168576401E-3</v>
      </c>
    </row>
    <row r="202" spans="1:11" x14ac:dyDescent="0.3">
      <c r="A202" t="s">
        <v>576</v>
      </c>
      <c r="B202" t="s">
        <v>440</v>
      </c>
      <c r="C202" t="s">
        <v>577</v>
      </c>
      <c r="D202" t="s">
        <v>64</v>
      </c>
      <c r="E202" s="1">
        <v>45718</v>
      </c>
      <c r="F202" s="1">
        <v>46012</v>
      </c>
      <c r="G202" t="s">
        <v>578</v>
      </c>
      <c r="H202" t="s">
        <v>23</v>
      </c>
      <c r="J202">
        <v>28</v>
      </c>
      <c r="K202">
        <f t="shared" si="3"/>
        <v>1.2833440278668989E-2</v>
      </c>
    </row>
    <row r="203" spans="1:11" x14ac:dyDescent="0.3">
      <c r="A203" t="s">
        <v>579</v>
      </c>
      <c r="B203" t="s">
        <v>440</v>
      </c>
      <c r="C203" t="s">
        <v>580</v>
      </c>
      <c r="D203" t="s">
        <v>64</v>
      </c>
      <c r="E203" s="1">
        <v>45166</v>
      </c>
      <c r="F203" s="1">
        <v>45945</v>
      </c>
      <c r="G203" t="s">
        <v>581</v>
      </c>
      <c r="H203" t="s">
        <v>23</v>
      </c>
      <c r="J203">
        <v>2</v>
      </c>
      <c r="K203">
        <f t="shared" si="3"/>
        <v>9.1667430561921345E-4</v>
      </c>
    </row>
    <row r="204" spans="1:11" x14ac:dyDescent="0.3">
      <c r="A204" t="s">
        <v>582</v>
      </c>
      <c r="B204" t="s">
        <v>107</v>
      </c>
      <c r="C204" t="s">
        <v>107</v>
      </c>
      <c r="D204" t="s">
        <v>64</v>
      </c>
      <c r="E204" s="1">
        <v>45712</v>
      </c>
      <c r="F204" s="1">
        <v>46387</v>
      </c>
      <c r="G204" t="s">
        <v>583</v>
      </c>
      <c r="H204" t="s">
        <v>23</v>
      </c>
      <c r="J204">
        <v>1</v>
      </c>
      <c r="K204">
        <f t="shared" si="3"/>
        <v>4.5833715280960672E-4</v>
      </c>
    </row>
    <row r="205" spans="1:11" x14ac:dyDescent="0.3">
      <c r="A205" t="s">
        <v>584</v>
      </c>
      <c r="B205" t="s">
        <v>440</v>
      </c>
      <c r="C205" t="s">
        <v>585</v>
      </c>
      <c r="D205" t="s">
        <v>64</v>
      </c>
      <c r="E205" s="1">
        <v>45824</v>
      </c>
      <c r="F205" s="1">
        <v>45919</v>
      </c>
      <c r="G205" t="s">
        <v>586</v>
      </c>
      <c r="H205" t="s">
        <v>23</v>
      </c>
      <c r="J205">
        <v>3</v>
      </c>
      <c r="K205">
        <f t="shared" si="3"/>
        <v>1.3750114584288201E-3</v>
      </c>
    </row>
    <row r="206" spans="1:11" x14ac:dyDescent="0.3">
      <c r="A206" t="s">
        <v>587</v>
      </c>
      <c r="B206" t="s">
        <v>70</v>
      </c>
      <c r="C206" t="s">
        <v>263</v>
      </c>
      <c r="D206" t="s">
        <v>64</v>
      </c>
      <c r="E206" s="1">
        <v>45789</v>
      </c>
      <c r="F206" s="1">
        <v>46022</v>
      </c>
      <c r="G206" t="s">
        <v>588</v>
      </c>
      <c r="H206" t="s">
        <v>23</v>
      </c>
      <c r="J206">
        <v>23.5</v>
      </c>
      <c r="K206">
        <f t="shared" si="3"/>
        <v>1.0770923091025758E-2</v>
      </c>
    </row>
    <row r="207" spans="1:11" x14ac:dyDescent="0.3">
      <c r="A207" t="s">
        <v>589</v>
      </c>
      <c r="B207" t="s">
        <v>636</v>
      </c>
      <c r="C207" t="s">
        <v>189</v>
      </c>
      <c r="D207" t="s">
        <v>64</v>
      </c>
      <c r="E207" s="1">
        <v>45489</v>
      </c>
      <c r="F207" s="1">
        <v>45916</v>
      </c>
      <c r="G207" t="s">
        <v>590</v>
      </c>
      <c r="H207" t="s">
        <v>23</v>
      </c>
      <c r="J207">
        <v>13</v>
      </c>
      <c r="K207">
        <f t="shared" si="3"/>
        <v>5.9583829865248869E-3</v>
      </c>
    </row>
    <row r="208" spans="1:11" x14ac:dyDescent="0.3">
      <c r="A208" t="s">
        <v>591</v>
      </c>
      <c r="B208" t="s">
        <v>592</v>
      </c>
      <c r="C208" t="s">
        <v>593</v>
      </c>
      <c r="D208" t="s">
        <v>56</v>
      </c>
      <c r="E208" s="1">
        <v>45411</v>
      </c>
      <c r="F208" s="1">
        <v>46387</v>
      </c>
      <c r="G208" t="s">
        <v>594</v>
      </c>
      <c r="H208" t="s">
        <v>23</v>
      </c>
      <c r="J208">
        <v>0</v>
      </c>
      <c r="K208">
        <f t="shared" si="3"/>
        <v>0</v>
      </c>
    </row>
    <row r="209" spans="1:11" x14ac:dyDescent="0.3">
      <c r="A209" t="s">
        <v>595</v>
      </c>
      <c r="B209" t="s">
        <v>107</v>
      </c>
      <c r="C209" t="s">
        <v>596</v>
      </c>
      <c r="D209" t="s">
        <v>246</v>
      </c>
      <c r="E209" s="1">
        <v>45551</v>
      </c>
      <c r="F209" s="1">
        <v>46079</v>
      </c>
      <c r="G209" t="s">
        <v>597</v>
      </c>
      <c r="H209" t="s">
        <v>23</v>
      </c>
      <c r="J209">
        <v>37</v>
      </c>
      <c r="K209">
        <f t="shared" si="3"/>
        <v>1.6958474653955447E-2</v>
      </c>
    </row>
    <row r="210" spans="1:11" x14ac:dyDescent="0.3">
      <c r="A210" t="s">
        <v>598</v>
      </c>
      <c r="B210" t="s">
        <v>499</v>
      </c>
      <c r="C210" t="s">
        <v>599</v>
      </c>
      <c r="D210" t="s">
        <v>437</v>
      </c>
      <c r="E210" s="1">
        <v>45810</v>
      </c>
      <c r="F210" s="1">
        <v>46079</v>
      </c>
      <c r="G210" t="s">
        <v>600</v>
      </c>
      <c r="H210" t="s">
        <v>23</v>
      </c>
      <c r="J210">
        <v>1</v>
      </c>
      <c r="K210">
        <f t="shared" si="3"/>
        <v>4.5833715280960672E-4</v>
      </c>
    </row>
    <row r="211" spans="1:11" x14ac:dyDescent="0.3">
      <c r="A211" t="s">
        <v>601</v>
      </c>
      <c r="B211" t="s">
        <v>440</v>
      </c>
      <c r="C211" t="s">
        <v>602</v>
      </c>
      <c r="D211" t="s">
        <v>190</v>
      </c>
      <c r="E211" s="1">
        <v>45502</v>
      </c>
      <c r="F211" s="1">
        <v>46082</v>
      </c>
      <c r="G211" t="s">
        <v>603</v>
      </c>
      <c r="H211" t="s">
        <v>23</v>
      </c>
      <c r="J211">
        <v>12</v>
      </c>
      <c r="K211">
        <f t="shared" si="3"/>
        <v>5.5000458337152803E-3</v>
      </c>
    </row>
    <row r="212" spans="1:11" x14ac:dyDescent="0.3">
      <c r="A212" t="s">
        <v>604</v>
      </c>
      <c r="B212" t="s">
        <v>152</v>
      </c>
      <c r="C212" t="s">
        <v>605</v>
      </c>
      <c r="D212" t="s">
        <v>153</v>
      </c>
      <c r="E212" s="1">
        <v>45672</v>
      </c>
      <c r="F212" s="1">
        <v>46387</v>
      </c>
      <c r="G212" t="s">
        <v>606</v>
      </c>
      <c r="H212" t="s">
        <v>23</v>
      </c>
      <c r="J212">
        <v>9</v>
      </c>
      <c r="K212">
        <f t="shared" si="3"/>
        <v>4.1250343752864604E-3</v>
      </c>
    </row>
    <row r="213" spans="1:11" x14ac:dyDescent="0.3">
      <c r="A213" t="s">
        <v>607</v>
      </c>
      <c r="B213" t="s">
        <v>224</v>
      </c>
      <c r="C213" t="s">
        <v>608</v>
      </c>
      <c r="D213" t="s">
        <v>153</v>
      </c>
      <c r="E213" s="1">
        <v>45866</v>
      </c>
      <c r="F213" s="1">
        <v>46288</v>
      </c>
      <c r="G213" t="s">
        <v>609</v>
      </c>
      <c r="H213" t="s">
        <v>23</v>
      </c>
      <c r="J213">
        <v>53</v>
      </c>
      <c r="K213">
        <f t="shared" si="3"/>
        <v>2.4291869098909156E-2</v>
      </c>
    </row>
    <row r="214" spans="1:11" x14ac:dyDescent="0.3">
      <c r="A214" t="s">
        <v>610</v>
      </c>
      <c r="B214" t="s">
        <v>81</v>
      </c>
      <c r="C214" t="s">
        <v>82</v>
      </c>
      <c r="D214" t="s">
        <v>21</v>
      </c>
      <c r="E214" s="1">
        <v>45817</v>
      </c>
      <c r="F214" s="1">
        <v>46022</v>
      </c>
      <c r="G214" t="s">
        <v>611</v>
      </c>
      <c r="H214" t="s">
        <v>23</v>
      </c>
      <c r="J214">
        <v>0</v>
      </c>
      <c r="K214">
        <f t="shared" si="3"/>
        <v>0</v>
      </c>
    </row>
    <row r="215" spans="1:11" x14ac:dyDescent="0.3">
      <c r="A215" t="s">
        <v>612</v>
      </c>
      <c r="B215" t="s">
        <v>635</v>
      </c>
      <c r="C215" t="s">
        <v>614</v>
      </c>
      <c r="D215" t="s">
        <v>46</v>
      </c>
      <c r="E215" s="1">
        <v>45166</v>
      </c>
      <c r="F215" s="1">
        <v>46388</v>
      </c>
      <c r="G215" t="s">
        <v>615</v>
      </c>
      <c r="H215" t="s">
        <v>23</v>
      </c>
      <c r="J215">
        <v>39</v>
      </c>
      <c r="K215">
        <f t="shared" si="3"/>
        <v>1.7875148959574663E-2</v>
      </c>
    </row>
    <row r="216" spans="1:11" x14ac:dyDescent="0.3">
      <c r="A216" t="s">
        <v>616</v>
      </c>
      <c r="B216" t="s">
        <v>613</v>
      </c>
      <c r="C216" t="s">
        <v>614</v>
      </c>
      <c r="D216" t="s">
        <v>46</v>
      </c>
      <c r="E216" s="1">
        <v>45166</v>
      </c>
      <c r="F216" s="1">
        <v>46388</v>
      </c>
      <c r="G216" t="s">
        <v>617</v>
      </c>
      <c r="H216" t="s">
        <v>23</v>
      </c>
      <c r="J216">
        <v>91</v>
      </c>
      <c r="K216">
        <f t="shared" si="3"/>
        <v>4.1708680905674207E-2</v>
      </c>
    </row>
    <row r="217" spans="1:11" x14ac:dyDescent="0.3">
      <c r="A217" t="s">
        <v>618</v>
      </c>
      <c r="B217" t="s">
        <v>129</v>
      </c>
      <c r="C217" t="s">
        <v>619</v>
      </c>
      <c r="D217" t="s">
        <v>46</v>
      </c>
      <c r="E217" s="1">
        <v>45600</v>
      </c>
      <c r="F217" s="1">
        <v>46079</v>
      </c>
      <c r="G217" t="s">
        <v>620</v>
      </c>
      <c r="H217" t="s">
        <v>23</v>
      </c>
      <c r="J217">
        <v>85</v>
      </c>
      <c r="K217">
        <f t="shared" si="3"/>
        <v>3.8958657988816571E-2</v>
      </c>
    </row>
    <row r="218" spans="1:11" x14ac:dyDescent="0.3">
      <c r="A218" t="s">
        <v>621</v>
      </c>
      <c r="B218" t="s">
        <v>613</v>
      </c>
      <c r="C218" t="s">
        <v>614</v>
      </c>
      <c r="D218" t="s">
        <v>46</v>
      </c>
      <c r="E218" s="1">
        <v>45166</v>
      </c>
      <c r="F218" s="1">
        <v>46388</v>
      </c>
      <c r="G218" t="s">
        <v>622</v>
      </c>
      <c r="H218" t="s">
        <v>23</v>
      </c>
      <c r="J218">
        <v>234</v>
      </c>
      <c r="K218">
        <f t="shared" si="3"/>
        <v>0.10725089375744797</v>
      </c>
    </row>
    <row r="219" spans="1:11" x14ac:dyDescent="0.3">
      <c r="A219" t="s">
        <v>623</v>
      </c>
      <c r="B219" t="s">
        <v>62</v>
      </c>
      <c r="C219" t="s">
        <v>441</v>
      </c>
      <c r="D219" t="s">
        <v>64</v>
      </c>
      <c r="E219" s="1">
        <v>45810</v>
      </c>
      <c r="F219" s="1">
        <v>45900</v>
      </c>
      <c r="G219" t="s">
        <v>624</v>
      </c>
      <c r="H219" t="s">
        <v>23</v>
      </c>
      <c r="J219">
        <v>0</v>
      </c>
      <c r="K219">
        <f t="shared" si="3"/>
        <v>0</v>
      </c>
    </row>
    <row r="220" spans="1:11" x14ac:dyDescent="0.3">
      <c r="A220" t="s">
        <v>625</v>
      </c>
      <c r="J220">
        <v>0</v>
      </c>
      <c r="K220">
        <f t="shared" si="3"/>
        <v>0</v>
      </c>
    </row>
    <row r="221" spans="1:11" x14ac:dyDescent="0.3">
      <c r="A221" t="s">
        <v>626</v>
      </c>
      <c r="J221">
        <f>SUM(J7:J220)</f>
        <v>2181.8000000000002</v>
      </c>
      <c r="K221">
        <f>SUM(K7:K220)</f>
        <v>1.0000000000000002</v>
      </c>
    </row>
  </sheetData>
  <phoneticPr fontId="1"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7"/>
  <sheetViews>
    <sheetView workbookViewId="0"/>
  </sheetViews>
  <sheetFormatPr defaultRowHeight="14.5" x14ac:dyDescent="0.3"/>
  <sheetData>
    <row r="1" spans="1:11" x14ac:dyDescent="0.3">
      <c r="A1" t="s">
        <v>0</v>
      </c>
    </row>
    <row r="2" spans="1:11" x14ac:dyDescent="0.3">
      <c r="A2" t="s">
        <v>1</v>
      </c>
    </row>
    <row r="3" spans="1:11" x14ac:dyDescent="0.3">
      <c r="A3" t="s">
        <v>2</v>
      </c>
      <c r="B3" t="s">
        <v>627</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16" si="0">J7/$J$17</f>
        <v>0</v>
      </c>
    </row>
    <row r="8" spans="1:11" x14ac:dyDescent="0.3">
      <c r="A8" t="s">
        <v>43</v>
      </c>
      <c r="B8" t="s">
        <v>44</v>
      </c>
      <c r="C8" t="s">
        <v>45</v>
      </c>
      <c r="D8" t="s">
        <v>46</v>
      </c>
      <c r="E8" s="1">
        <v>45547</v>
      </c>
      <c r="F8" s="1">
        <v>45991</v>
      </c>
      <c r="G8" t="s">
        <v>47</v>
      </c>
      <c r="H8" t="s">
        <v>23</v>
      </c>
      <c r="J8">
        <v>0</v>
      </c>
      <c r="K8">
        <f t="shared" si="0"/>
        <v>0</v>
      </c>
    </row>
    <row r="9" spans="1:11" x14ac:dyDescent="0.3">
      <c r="A9" t="s">
        <v>103</v>
      </c>
      <c r="B9" t="s">
        <v>104</v>
      </c>
      <c r="C9" t="s">
        <v>104</v>
      </c>
      <c r="D9" t="s">
        <v>46</v>
      </c>
      <c r="E9" s="1">
        <v>45838</v>
      </c>
      <c r="F9" s="1">
        <v>46013</v>
      </c>
      <c r="G9" t="s">
        <v>105</v>
      </c>
      <c r="H9" t="s">
        <v>23</v>
      </c>
      <c r="J9">
        <v>0</v>
      </c>
      <c r="K9">
        <f t="shared" si="0"/>
        <v>0</v>
      </c>
    </row>
    <row r="10" spans="1:11" x14ac:dyDescent="0.3">
      <c r="A10" t="s">
        <v>299</v>
      </c>
      <c r="B10" t="s">
        <v>104</v>
      </c>
      <c r="C10" t="s">
        <v>104</v>
      </c>
      <c r="D10" t="s">
        <v>46</v>
      </c>
      <c r="E10" s="1">
        <v>45859</v>
      </c>
      <c r="F10" s="1">
        <v>46028</v>
      </c>
      <c r="G10" t="s">
        <v>300</v>
      </c>
      <c r="H10" t="s">
        <v>23</v>
      </c>
      <c r="J10">
        <v>15</v>
      </c>
      <c r="K10">
        <f t="shared" si="0"/>
        <v>0.375</v>
      </c>
    </row>
    <row r="11" spans="1:11" x14ac:dyDescent="0.3">
      <c r="A11" t="s">
        <v>400</v>
      </c>
      <c r="B11" t="s">
        <v>104</v>
      </c>
      <c r="C11" t="s">
        <v>104</v>
      </c>
      <c r="D11" t="s">
        <v>21</v>
      </c>
      <c r="E11" s="1">
        <v>45166</v>
      </c>
      <c r="F11" s="1">
        <v>46037</v>
      </c>
      <c r="G11" t="s">
        <v>401</v>
      </c>
      <c r="H11" t="s">
        <v>23</v>
      </c>
      <c r="J11">
        <v>0</v>
      </c>
      <c r="K11">
        <f t="shared" si="0"/>
        <v>0</v>
      </c>
    </row>
    <row r="12" spans="1:11" x14ac:dyDescent="0.3">
      <c r="A12" t="s">
        <v>416</v>
      </c>
      <c r="B12" t="s">
        <v>104</v>
      </c>
      <c r="C12" t="s">
        <v>104</v>
      </c>
      <c r="D12" t="s">
        <v>46</v>
      </c>
      <c r="E12" s="1">
        <v>45838</v>
      </c>
      <c r="F12" s="1">
        <v>45959</v>
      </c>
      <c r="G12" t="s">
        <v>417</v>
      </c>
      <c r="H12" t="s">
        <v>23</v>
      </c>
      <c r="J12">
        <v>15</v>
      </c>
      <c r="K12">
        <f t="shared" si="0"/>
        <v>0.375</v>
      </c>
    </row>
    <row r="13" spans="1:11" x14ac:dyDescent="0.3">
      <c r="A13" t="s">
        <v>612</v>
      </c>
      <c r="B13" t="s">
        <v>613</v>
      </c>
      <c r="C13" t="s">
        <v>614</v>
      </c>
      <c r="D13" t="s">
        <v>46</v>
      </c>
      <c r="E13" s="1">
        <v>45166</v>
      </c>
      <c r="F13" s="1">
        <v>46388</v>
      </c>
      <c r="G13" t="s">
        <v>615</v>
      </c>
      <c r="H13" t="s">
        <v>23</v>
      </c>
      <c r="J13">
        <v>0</v>
      </c>
      <c r="K13">
        <f t="shared" si="0"/>
        <v>0</v>
      </c>
    </row>
    <row r="14" spans="1:11" x14ac:dyDescent="0.3">
      <c r="A14" t="s">
        <v>616</v>
      </c>
      <c r="B14" t="s">
        <v>613</v>
      </c>
      <c r="C14" t="s">
        <v>614</v>
      </c>
      <c r="D14" t="s">
        <v>46</v>
      </c>
      <c r="E14" s="1">
        <v>45166</v>
      </c>
      <c r="F14" s="1">
        <v>46388</v>
      </c>
      <c r="G14" t="s">
        <v>617</v>
      </c>
      <c r="H14" t="s">
        <v>23</v>
      </c>
      <c r="J14">
        <v>2</v>
      </c>
      <c r="K14">
        <f t="shared" si="0"/>
        <v>0.05</v>
      </c>
    </row>
    <row r="15" spans="1:11" x14ac:dyDescent="0.3">
      <c r="A15" t="s">
        <v>621</v>
      </c>
      <c r="B15" t="s">
        <v>613</v>
      </c>
      <c r="C15" t="s">
        <v>614</v>
      </c>
      <c r="D15" t="s">
        <v>46</v>
      </c>
      <c r="E15" s="1">
        <v>45166</v>
      </c>
      <c r="F15" s="1">
        <v>46388</v>
      </c>
      <c r="G15" t="s">
        <v>622</v>
      </c>
      <c r="H15" t="s">
        <v>23</v>
      </c>
      <c r="J15">
        <v>8</v>
      </c>
      <c r="K15">
        <f t="shared" si="0"/>
        <v>0.2</v>
      </c>
    </row>
    <row r="16" spans="1:11" x14ac:dyDescent="0.3">
      <c r="A16" t="s">
        <v>625</v>
      </c>
      <c r="J16">
        <v>0</v>
      </c>
      <c r="K16">
        <f t="shared" si="0"/>
        <v>0</v>
      </c>
    </row>
    <row r="17" spans="1:11" x14ac:dyDescent="0.3">
      <c r="A17" t="s">
        <v>626</v>
      </c>
      <c r="J17">
        <f>SUM(J7:J16)</f>
        <v>40</v>
      </c>
      <c r="K17">
        <f>SUM(K7:K16)</f>
        <v>1</v>
      </c>
    </row>
  </sheetData>
  <phoneticPr fontId="1"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3"/>
  <sheetViews>
    <sheetView workbookViewId="0"/>
  </sheetViews>
  <sheetFormatPr defaultRowHeight="14.5" x14ac:dyDescent="0.3"/>
  <sheetData>
    <row r="1" spans="1:11" x14ac:dyDescent="0.3">
      <c r="A1" t="s">
        <v>0</v>
      </c>
    </row>
    <row r="2" spans="1:11" x14ac:dyDescent="0.3">
      <c r="A2" t="s">
        <v>1</v>
      </c>
    </row>
    <row r="3" spans="1:11" x14ac:dyDescent="0.3">
      <c r="A3" t="s">
        <v>2</v>
      </c>
      <c r="B3" t="s">
        <v>628</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32" si="0">J7/$J$33</f>
        <v>0</v>
      </c>
    </row>
    <row r="8" spans="1:11" x14ac:dyDescent="0.3">
      <c r="A8" t="s">
        <v>28</v>
      </c>
      <c r="B8" t="s">
        <v>19</v>
      </c>
      <c r="C8" t="s">
        <v>29</v>
      </c>
      <c r="D8" t="s">
        <v>26</v>
      </c>
      <c r="E8" s="1">
        <v>45670</v>
      </c>
      <c r="F8" s="1">
        <v>46022</v>
      </c>
      <c r="G8" t="s">
        <v>30</v>
      </c>
      <c r="H8" t="s">
        <v>23</v>
      </c>
      <c r="J8">
        <v>0</v>
      </c>
      <c r="K8">
        <f t="shared" si="0"/>
        <v>0</v>
      </c>
    </row>
    <row r="9" spans="1:11" x14ac:dyDescent="0.3">
      <c r="A9" t="s">
        <v>31</v>
      </c>
      <c r="B9" t="s">
        <v>19</v>
      </c>
      <c r="C9" t="s">
        <v>32</v>
      </c>
      <c r="D9" t="s">
        <v>26</v>
      </c>
      <c r="E9" s="1">
        <v>45733</v>
      </c>
      <c r="F9" s="1">
        <v>46022</v>
      </c>
      <c r="G9" t="s">
        <v>33</v>
      </c>
      <c r="H9" t="s">
        <v>23</v>
      </c>
      <c r="J9">
        <v>0</v>
      </c>
      <c r="K9">
        <f t="shared" si="0"/>
        <v>0</v>
      </c>
    </row>
    <row r="10" spans="1:11" x14ac:dyDescent="0.3">
      <c r="A10" t="s">
        <v>43</v>
      </c>
      <c r="B10" t="s">
        <v>44</v>
      </c>
      <c r="C10" t="s">
        <v>45</v>
      </c>
      <c r="D10" t="s">
        <v>46</v>
      </c>
      <c r="E10" s="1">
        <v>45547</v>
      </c>
      <c r="F10" s="1">
        <v>45991</v>
      </c>
      <c r="G10" t="s">
        <v>47</v>
      </c>
      <c r="H10" t="s">
        <v>23</v>
      </c>
      <c r="J10">
        <v>3</v>
      </c>
      <c r="K10">
        <f t="shared" si="0"/>
        <v>2.6086956521739129E-2</v>
      </c>
    </row>
    <row r="11" spans="1:11" x14ac:dyDescent="0.3">
      <c r="A11" t="s">
        <v>48</v>
      </c>
      <c r="B11" t="s">
        <v>49</v>
      </c>
      <c r="C11" t="s">
        <v>49</v>
      </c>
      <c r="D11" t="s">
        <v>46</v>
      </c>
      <c r="E11" s="1">
        <v>45658</v>
      </c>
      <c r="F11" s="1">
        <v>46023</v>
      </c>
      <c r="G11" t="s">
        <v>50</v>
      </c>
      <c r="H11" t="s">
        <v>23</v>
      </c>
      <c r="J11">
        <v>0</v>
      </c>
      <c r="K11">
        <f t="shared" si="0"/>
        <v>0</v>
      </c>
    </row>
    <row r="12" spans="1:11" x14ac:dyDescent="0.3">
      <c r="A12" t="s">
        <v>51</v>
      </c>
      <c r="B12" t="s">
        <v>49</v>
      </c>
      <c r="C12" t="s">
        <v>49</v>
      </c>
      <c r="D12" t="s">
        <v>46</v>
      </c>
      <c r="E12" s="1">
        <v>45658</v>
      </c>
      <c r="F12" s="1">
        <v>46038</v>
      </c>
      <c r="G12" t="s">
        <v>52</v>
      </c>
      <c r="H12" t="s">
        <v>23</v>
      </c>
      <c r="J12">
        <v>0</v>
      </c>
      <c r="K12">
        <f t="shared" si="0"/>
        <v>0</v>
      </c>
    </row>
    <row r="13" spans="1:11" x14ac:dyDescent="0.3">
      <c r="A13" t="s">
        <v>66</v>
      </c>
      <c r="B13" t="s">
        <v>49</v>
      </c>
      <c r="C13" t="s">
        <v>67</v>
      </c>
      <c r="D13" t="s">
        <v>46</v>
      </c>
      <c r="E13" s="1">
        <v>45859</v>
      </c>
      <c r="F13" s="1">
        <v>45877</v>
      </c>
      <c r="G13" t="s">
        <v>68</v>
      </c>
      <c r="H13" t="s">
        <v>23</v>
      </c>
      <c r="J13">
        <v>0</v>
      </c>
      <c r="K13">
        <f t="shared" si="0"/>
        <v>0</v>
      </c>
    </row>
    <row r="14" spans="1:11" x14ac:dyDescent="0.3">
      <c r="A14" t="s">
        <v>117</v>
      </c>
      <c r="B14" t="s">
        <v>19</v>
      </c>
      <c r="C14" t="s">
        <v>118</v>
      </c>
      <c r="D14" t="s">
        <v>10</v>
      </c>
      <c r="E14" s="1">
        <v>45621</v>
      </c>
      <c r="F14" s="1">
        <v>46234</v>
      </c>
      <c r="G14" t="s">
        <v>119</v>
      </c>
      <c r="H14" t="s">
        <v>23</v>
      </c>
      <c r="J14">
        <v>0</v>
      </c>
      <c r="K14">
        <f t="shared" si="0"/>
        <v>0</v>
      </c>
    </row>
    <row r="15" spans="1:11" x14ac:dyDescent="0.3">
      <c r="A15" t="s">
        <v>120</v>
      </c>
      <c r="B15" t="s">
        <v>76</v>
      </c>
      <c r="C15" t="s">
        <v>121</v>
      </c>
      <c r="D15" t="s">
        <v>10</v>
      </c>
      <c r="E15" s="1">
        <v>45733</v>
      </c>
      <c r="F15" s="1">
        <v>46234</v>
      </c>
      <c r="G15" t="s">
        <v>122</v>
      </c>
      <c r="H15" t="s">
        <v>23</v>
      </c>
      <c r="J15">
        <v>0</v>
      </c>
      <c r="K15">
        <f t="shared" si="0"/>
        <v>0</v>
      </c>
    </row>
    <row r="16" spans="1:11" x14ac:dyDescent="0.3">
      <c r="A16" t="s">
        <v>161</v>
      </c>
      <c r="B16" t="s">
        <v>162</v>
      </c>
      <c r="C16" t="s">
        <v>162</v>
      </c>
      <c r="D16" t="s">
        <v>163</v>
      </c>
      <c r="E16" s="1">
        <v>45166</v>
      </c>
      <c r="F16" s="1">
        <v>46064</v>
      </c>
      <c r="G16" t="s">
        <v>164</v>
      </c>
      <c r="H16" t="s">
        <v>23</v>
      </c>
      <c r="J16">
        <v>14</v>
      </c>
      <c r="K16">
        <f t="shared" si="0"/>
        <v>0.12173913043478261</v>
      </c>
    </row>
    <row r="17" spans="1:11" x14ac:dyDescent="0.3">
      <c r="A17" t="s">
        <v>223</v>
      </c>
      <c r="B17" t="s">
        <v>224</v>
      </c>
      <c r="C17" t="s">
        <v>225</v>
      </c>
      <c r="D17" t="s">
        <v>199</v>
      </c>
      <c r="E17" s="1">
        <v>45446</v>
      </c>
      <c r="F17" s="1">
        <v>46021</v>
      </c>
      <c r="G17" t="s">
        <v>226</v>
      </c>
      <c r="H17" t="s">
        <v>23</v>
      </c>
      <c r="J17">
        <v>0</v>
      </c>
      <c r="K17">
        <f t="shared" si="0"/>
        <v>0</v>
      </c>
    </row>
    <row r="18" spans="1:11" x14ac:dyDescent="0.3">
      <c r="A18" t="s">
        <v>240</v>
      </c>
      <c r="B18" t="s">
        <v>241</v>
      </c>
      <c r="C18" t="s">
        <v>242</v>
      </c>
      <c r="D18" t="s">
        <v>149</v>
      </c>
      <c r="E18" s="1">
        <v>45719</v>
      </c>
      <c r="F18" s="1">
        <v>46022</v>
      </c>
      <c r="G18" t="s">
        <v>243</v>
      </c>
      <c r="H18" t="s">
        <v>23</v>
      </c>
      <c r="J18">
        <v>0</v>
      </c>
      <c r="K18">
        <f t="shared" si="0"/>
        <v>0</v>
      </c>
    </row>
    <row r="19" spans="1:11" x14ac:dyDescent="0.3">
      <c r="A19" t="s">
        <v>291</v>
      </c>
      <c r="B19" t="s">
        <v>76</v>
      </c>
      <c r="C19" t="s">
        <v>292</v>
      </c>
      <c r="D19" t="s">
        <v>10</v>
      </c>
      <c r="E19" s="1">
        <v>45474</v>
      </c>
      <c r="F19" s="1">
        <v>46081</v>
      </c>
      <c r="G19" t="s">
        <v>293</v>
      </c>
      <c r="H19" t="s">
        <v>23</v>
      </c>
      <c r="J19">
        <v>0</v>
      </c>
      <c r="K19">
        <f t="shared" si="0"/>
        <v>0</v>
      </c>
    </row>
    <row r="20" spans="1:11" x14ac:dyDescent="0.3">
      <c r="A20" t="s">
        <v>304</v>
      </c>
      <c r="B20" t="s">
        <v>49</v>
      </c>
      <c r="C20" t="s">
        <v>305</v>
      </c>
      <c r="D20" t="s">
        <v>21</v>
      </c>
      <c r="E20" s="1">
        <v>45166</v>
      </c>
      <c r="F20" s="1">
        <v>46079</v>
      </c>
      <c r="G20" t="s">
        <v>306</v>
      </c>
      <c r="H20" t="s">
        <v>23</v>
      </c>
      <c r="J20">
        <v>8</v>
      </c>
      <c r="K20">
        <f t="shared" si="0"/>
        <v>6.9565217391304349E-2</v>
      </c>
    </row>
    <row r="21" spans="1:11" x14ac:dyDescent="0.3">
      <c r="A21" t="s">
        <v>341</v>
      </c>
      <c r="B21" t="s">
        <v>329</v>
      </c>
      <c r="C21" t="s">
        <v>342</v>
      </c>
      <c r="D21" t="s">
        <v>21</v>
      </c>
      <c r="E21" s="1">
        <v>45775</v>
      </c>
      <c r="F21" s="1">
        <v>46081</v>
      </c>
      <c r="G21" t="s">
        <v>343</v>
      </c>
      <c r="H21" t="s">
        <v>23</v>
      </c>
      <c r="J21">
        <v>28</v>
      </c>
      <c r="K21">
        <f t="shared" si="0"/>
        <v>0.24347826086956523</v>
      </c>
    </row>
    <row r="22" spans="1:11" x14ac:dyDescent="0.3">
      <c r="A22" t="s">
        <v>354</v>
      </c>
      <c r="B22" t="s">
        <v>355</v>
      </c>
      <c r="C22" t="s">
        <v>356</v>
      </c>
      <c r="D22" t="s">
        <v>21</v>
      </c>
      <c r="E22" s="1">
        <v>45838</v>
      </c>
      <c r="F22" s="1">
        <v>45989</v>
      </c>
      <c r="G22" t="s">
        <v>357</v>
      </c>
      <c r="H22" t="s">
        <v>23</v>
      </c>
      <c r="J22">
        <v>12</v>
      </c>
      <c r="K22">
        <f t="shared" si="0"/>
        <v>0.10434782608695652</v>
      </c>
    </row>
    <row r="23" spans="1:11" x14ac:dyDescent="0.3">
      <c r="A23" t="s">
        <v>408</v>
      </c>
      <c r="B23" t="s">
        <v>403</v>
      </c>
      <c r="C23" t="s">
        <v>409</v>
      </c>
      <c r="D23" t="s">
        <v>153</v>
      </c>
      <c r="E23" s="1">
        <v>45565</v>
      </c>
      <c r="F23" s="1">
        <v>46066</v>
      </c>
      <c r="G23" t="s">
        <v>410</v>
      </c>
      <c r="H23" t="s">
        <v>23</v>
      </c>
      <c r="J23">
        <v>0</v>
      </c>
      <c r="K23">
        <f t="shared" si="0"/>
        <v>0</v>
      </c>
    </row>
    <row r="24" spans="1:11" x14ac:dyDescent="0.3">
      <c r="A24" t="s">
        <v>491</v>
      </c>
      <c r="B24" t="s">
        <v>355</v>
      </c>
      <c r="C24" t="s">
        <v>492</v>
      </c>
      <c r="D24" t="s">
        <v>393</v>
      </c>
      <c r="E24" s="1">
        <v>45663</v>
      </c>
      <c r="F24" s="1">
        <v>45863</v>
      </c>
      <c r="G24" t="s">
        <v>493</v>
      </c>
      <c r="H24" t="s">
        <v>23</v>
      </c>
      <c r="J24">
        <v>0</v>
      </c>
      <c r="K24">
        <f t="shared" si="0"/>
        <v>0</v>
      </c>
    </row>
    <row r="25" spans="1:11" x14ac:dyDescent="0.3">
      <c r="A25" t="s">
        <v>498</v>
      </c>
      <c r="B25" t="s">
        <v>499</v>
      </c>
      <c r="C25" t="s">
        <v>500</v>
      </c>
      <c r="D25" t="s">
        <v>437</v>
      </c>
      <c r="E25" s="1">
        <v>45285</v>
      </c>
      <c r="F25" s="1">
        <v>45986</v>
      </c>
      <c r="G25" t="s">
        <v>501</v>
      </c>
      <c r="H25" t="s">
        <v>23</v>
      </c>
      <c r="J25">
        <v>0</v>
      </c>
      <c r="K25">
        <f t="shared" si="0"/>
        <v>0</v>
      </c>
    </row>
    <row r="26" spans="1:11" x14ac:dyDescent="0.3">
      <c r="A26" t="s">
        <v>504</v>
      </c>
      <c r="B26" t="s">
        <v>403</v>
      </c>
      <c r="C26" t="s">
        <v>409</v>
      </c>
      <c r="D26" t="s">
        <v>153</v>
      </c>
      <c r="E26" s="1">
        <v>45726</v>
      </c>
      <c r="F26" s="1">
        <v>46022</v>
      </c>
      <c r="G26" t="s">
        <v>505</v>
      </c>
      <c r="H26" t="s">
        <v>23</v>
      </c>
      <c r="J26">
        <v>0</v>
      </c>
      <c r="K26">
        <f t="shared" si="0"/>
        <v>0</v>
      </c>
    </row>
    <row r="27" spans="1:11" x14ac:dyDescent="0.3">
      <c r="A27" t="s">
        <v>514</v>
      </c>
      <c r="B27" t="s">
        <v>49</v>
      </c>
      <c r="C27" t="s">
        <v>49</v>
      </c>
      <c r="D27" t="s">
        <v>21</v>
      </c>
      <c r="E27" s="1">
        <v>45866</v>
      </c>
      <c r="F27" s="1">
        <v>46112</v>
      </c>
      <c r="G27" t="s">
        <v>515</v>
      </c>
      <c r="H27" t="s">
        <v>23</v>
      </c>
      <c r="J27">
        <v>6</v>
      </c>
      <c r="K27">
        <f t="shared" si="0"/>
        <v>5.2173913043478258E-2</v>
      </c>
    </row>
    <row r="28" spans="1:11" x14ac:dyDescent="0.3">
      <c r="A28" t="s">
        <v>579</v>
      </c>
      <c r="B28" t="s">
        <v>440</v>
      </c>
      <c r="C28" t="s">
        <v>580</v>
      </c>
      <c r="D28" t="s">
        <v>64</v>
      </c>
      <c r="E28" s="1">
        <v>45166</v>
      </c>
      <c r="F28" s="1">
        <v>45945</v>
      </c>
      <c r="G28" t="s">
        <v>581</v>
      </c>
      <c r="H28" t="s">
        <v>23</v>
      </c>
      <c r="J28">
        <v>2</v>
      </c>
      <c r="K28">
        <f t="shared" si="0"/>
        <v>1.7391304347826087E-2</v>
      </c>
    </row>
    <row r="29" spans="1:11" x14ac:dyDescent="0.3">
      <c r="A29" t="s">
        <v>612</v>
      </c>
      <c r="B29" t="s">
        <v>613</v>
      </c>
      <c r="C29" t="s">
        <v>614</v>
      </c>
      <c r="D29" t="s">
        <v>46</v>
      </c>
      <c r="E29" s="1">
        <v>45166</v>
      </c>
      <c r="F29" s="1">
        <v>46388</v>
      </c>
      <c r="G29" t="s">
        <v>615</v>
      </c>
      <c r="H29" t="s">
        <v>23</v>
      </c>
      <c r="J29">
        <v>0</v>
      </c>
      <c r="K29">
        <f t="shared" si="0"/>
        <v>0</v>
      </c>
    </row>
    <row r="30" spans="1:11" x14ac:dyDescent="0.3">
      <c r="A30" t="s">
        <v>616</v>
      </c>
      <c r="B30" t="s">
        <v>613</v>
      </c>
      <c r="C30" t="s">
        <v>614</v>
      </c>
      <c r="D30" t="s">
        <v>46</v>
      </c>
      <c r="E30" s="1">
        <v>45166</v>
      </c>
      <c r="F30" s="1">
        <v>46388</v>
      </c>
      <c r="G30" t="s">
        <v>617</v>
      </c>
      <c r="H30" t="s">
        <v>23</v>
      </c>
      <c r="J30">
        <v>2</v>
      </c>
      <c r="K30">
        <f t="shared" si="0"/>
        <v>1.7391304347826087E-2</v>
      </c>
    </row>
    <row r="31" spans="1:11" x14ac:dyDescent="0.3">
      <c r="A31" t="s">
        <v>621</v>
      </c>
      <c r="B31" t="s">
        <v>613</v>
      </c>
      <c r="C31" t="s">
        <v>614</v>
      </c>
      <c r="D31" t="s">
        <v>46</v>
      </c>
      <c r="E31" s="1">
        <v>45166</v>
      </c>
      <c r="F31" s="1">
        <v>46388</v>
      </c>
      <c r="G31" t="s">
        <v>622</v>
      </c>
      <c r="H31" t="s">
        <v>23</v>
      </c>
      <c r="J31">
        <v>40</v>
      </c>
      <c r="K31">
        <f t="shared" si="0"/>
        <v>0.34782608695652173</v>
      </c>
    </row>
    <row r="32" spans="1:11" x14ac:dyDescent="0.3">
      <c r="A32" t="s">
        <v>625</v>
      </c>
      <c r="J32">
        <v>0</v>
      </c>
      <c r="K32">
        <f t="shared" si="0"/>
        <v>0</v>
      </c>
    </row>
    <row r="33" spans="1:11" x14ac:dyDescent="0.3">
      <c r="A33" t="s">
        <v>626</v>
      </c>
      <c r="J33">
        <f>SUM(J7:J32)</f>
        <v>115</v>
      </c>
      <c r="K33">
        <f>SUM(K7:K32)</f>
        <v>1</v>
      </c>
    </row>
  </sheetData>
  <phoneticPr fontId="1"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27"/>
  <sheetViews>
    <sheetView workbookViewId="0"/>
  </sheetViews>
  <sheetFormatPr defaultRowHeight="14.5" x14ac:dyDescent="0.3"/>
  <sheetData>
    <row r="1" spans="1:11" x14ac:dyDescent="0.3">
      <c r="A1" t="s">
        <v>0</v>
      </c>
    </row>
    <row r="2" spans="1:11" x14ac:dyDescent="0.3">
      <c r="A2" t="s">
        <v>1</v>
      </c>
    </row>
    <row r="3" spans="1:11" x14ac:dyDescent="0.3">
      <c r="A3" t="s">
        <v>2</v>
      </c>
      <c r="B3" t="s">
        <v>629</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26" si="0">J7/$J$27</f>
        <v>0</v>
      </c>
    </row>
    <row r="8" spans="1:11" x14ac:dyDescent="0.3">
      <c r="A8" t="s">
        <v>36</v>
      </c>
      <c r="B8" t="s">
        <v>19</v>
      </c>
      <c r="C8" t="s">
        <v>37</v>
      </c>
      <c r="D8" t="s">
        <v>38</v>
      </c>
      <c r="E8" s="1">
        <v>45565</v>
      </c>
      <c r="F8" s="1">
        <v>45900</v>
      </c>
      <c r="G8" t="s">
        <v>39</v>
      </c>
      <c r="H8" t="s">
        <v>23</v>
      </c>
      <c r="J8">
        <v>0</v>
      </c>
      <c r="K8">
        <f t="shared" si="0"/>
        <v>0</v>
      </c>
    </row>
    <row r="9" spans="1:11" x14ac:dyDescent="0.3">
      <c r="A9" t="s">
        <v>109</v>
      </c>
      <c r="B9" t="s">
        <v>110</v>
      </c>
      <c r="C9" t="s">
        <v>111</v>
      </c>
      <c r="D9" t="s">
        <v>21</v>
      </c>
      <c r="E9" s="1">
        <v>45733</v>
      </c>
      <c r="F9" s="1">
        <v>46022</v>
      </c>
      <c r="G9" t="s">
        <v>112</v>
      </c>
      <c r="H9" t="s">
        <v>23</v>
      </c>
      <c r="J9">
        <v>28</v>
      </c>
      <c r="K9">
        <f t="shared" si="0"/>
        <v>0.17499999999999999</v>
      </c>
    </row>
    <row r="10" spans="1:11" x14ac:dyDescent="0.3">
      <c r="A10" t="s">
        <v>117</v>
      </c>
      <c r="B10" t="s">
        <v>19</v>
      </c>
      <c r="C10" t="s">
        <v>118</v>
      </c>
      <c r="D10" t="s">
        <v>10</v>
      </c>
      <c r="E10" s="1">
        <v>45621</v>
      </c>
      <c r="F10" s="1">
        <v>46234</v>
      </c>
      <c r="G10" t="s">
        <v>119</v>
      </c>
      <c r="H10" t="s">
        <v>23</v>
      </c>
      <c r="J10">
        <v>0</v>
      </c>
      <c r="K10">
        <f t="shared" si="0"/>
        <v>0</v>
      </c>
    </row>
    <row r="11" spans="1:11" x14ac:dyDescent="0.3">
      <c r="A11" t="s">
        <v>144</v>
      </c>
      <c r="B11" t="s">
        <v>110</v>
      </c>
      <c r="C11" t="s">
        <v>110</v>
      </c>
      <c r="D11" t="s">
        <v>21</v>
      </c>
      <c r="E11" s="1">
        <v>45817</v>
      </c>
      <c r="F11" s="1">
        <v>46079</v>
      </c>
      <c r="G11" t="s">
        <v>145</v>
      </c>
      <c r="H11" t="s">
        <v>23</v>
      </c>
      <c r="J11">
        <v>40</v>
      </c>
      <c r="K11">
        <f t="shared" si="0"/>
        <v>0.25</v>
      </c>
    </row>
    <row r="12" spans="1:11" x14ac:dyDescent="0.3">
      <c r="A12" t="s">
        <v>318</v>
      </c>
      <c r="B12" t="s">
        <v>114</v>
      </c>
      <c r="C12" t="s">
        <v>319</v>
      </c>
      <c r="D12" t="s">
        <v>21</v>
      </c>
      <c r="E12" s="1">
        <v>45719</v>
      </c>
      <c r="F12" s="1">
        <v>45860</v>
      </c>
      <c r="G12" t="s">
        <v>320</v>
      </c>
      <c r="H12" t="s">
        <v>23</v>
      </c>
      <c r="J12">
        <v>0</v>
      </c>
      <c r="K12">
        <f t="shared" si="0"/>
        <v>0</v>
      </c>
    </row>
    <row r="13" spans="1:11" x14ac:dyDescent="0.3">
      <c r="A13" t="s">
        <v>398</v>
      </c>
      <c r="B13" t="s">
        <v>110</v>
      </c>
      <c r="C13" t="s">
        <v>111</v>
      </c>
      <c r="D13" t="s">
        <v>21</v>
      </c>
      <c r="E13" s="1">
        <v>44613</v>
      </c>
      <c r="F13" s="1">
        <v>46009</v>
      </c>
      <c r="G13" t="s">
        <v>399</v>
      </c>
      <c r="H13" t="s">
        <v>23</v>
      </c>
      <c r="J13">
        <v>0</v>
      </c>
      <c r="K13">
        <f t="shared" si="0"/>
        <v>0</v>
      </c>
    </row>
    <row r="14" spans="1:11" x14ac:dyDescent="0.3">
      <c r="A14" t="s">
        <v>411</v>
      </c>
      <c r="B14" t="s">
        <v>241</v>
      </c>
      <c r="C14" t="s">
        <v>412</v>
      </c>
      <c r="D14" t="s">
        <v>149</v>
      </c>
      <c r="E14" s="1">
        <v>45474</v>
      </c>
      <c r="F14" s="1">
        <v>45917</v>
      </c>
      <c r="G14" t="s">
        <v>413</v>
      </c>
      <c r="H14" t="s">
        <v>23</v>
      </c>
      <c r="J14">
        <v>0</v>
      </c>
      <c r="K14">
        <f t="shared" si="0"/>
        <v>0</v>
      </c>
    </row>
    <row r="15" spans="1:11" x14ac:dyDescent="0.3">
      <c r="A15" t="s">
        <v>457</v>
      </c>
      <c r="B15" t="s">
        <v>458</v>
      </c>
      <c r="C15" t="s">
        <v>458</v>
      </c>
      <c r="D15" t="s">
        <v>21</v>
      </c>
      <c r="E15" s="1">
        <v>45859</v>
      </c>
      <c r="F15" s="1">
        <v>45891</v>
      </c>
      <c r="G15" t="s">
        <v>459</v>
      </c>
      <c r="H15" t="s">
        <v>23</v>
      </c>
      <c r="J15">
        <v>2</v>
      </c>
      <c r="K15">
        <f t="shared" si="0"/>
        <v>1.2500000000000001E-2</v>
      </c>
    </row>
    <row r="16" spans="1:11" x14ac:dyDescent="0.3">
      <c r="A16" t="s">
        <v>460</v>
      </c>
      <c r="B16" t="s">
        <v>458</v>
      </c>
      <c r="C16" t="s">
        <v>458</v>
      </c>
      <c r="D16" t="s">
        <v>21</v>
      </c>
      <c r="E16" s="1">
        <v>45838</v>
      </c>
      <c r="F16" s="1">
        <v>45870</v>
      </c>
      <c r="G16" t="s">
        <v>461</v>
      </c>
      <c r="H16" t="s">
        <v>23</v>
      </c>
      <c r="J16">
        <v>0</v>
      </c>
      <c r="K16">
        <f t="shared" si="0"/>
        <v>0</v>
      </c>
    </row>
    <row r="17" spans="1:11" x14ac:dyDescent="0.3">
      <c r="A17" t="s">
        <v>462</v>
      </c>
      <c r="B17" t="s">
        <v>458</v>
      </c>
      <c r="C17" t="s">
        <v>458</v>
      </c>
      <c r="D17" t="s">
        <v>21</v>
      </c>
      <c r="E17" s="1">
        <v>45166</v>
      </c>
      <c r="F17" s="1">
        <v>46387</v>
      </c>
      <c r="G17" t="s">
        <v>463</v>
      </c>
      <c r="H17" t="s">
        <v>23</v>
      </c>
      <c r="J17">
        <v>0</v>
      </c>
      <c r="K17">
        <f t="shared" si="0"/>
        <v>0</v>
      </c>
    </row>
    <row r="18" spans="1:11" x14ac:dyDescent="0.3">
      <c r="A18" t="s">
        <v>464</v>
      </c>
      <c r="B18" t="s">
        <v>458</v>
      </c>
      <c r="C18" t="s">
        <v>458</v>
      </c>
      <c r="D18" t="s">
        <v>10</v>
      </c>
      <c r="E18" s="1">
        <v>45845</v>
      </c>
      <c r="F18" s="1">
        <v>45877</v>
      </c>
      <c r="G18" t="s">
        <v>465</v>
      </c>
      <c r="H18" t="s">
        <v>23</v>
      </c>
      <c r="J18">
        <v>0</v>
      </c>
      <c r="K18">
        <f t="shared" si="0"/>
        <v>0</v>
      </c>
    </row>
    <row r="19" spans="1:11" x14ac:dyDescent="0.3">
      <c r="A19" t="s">
        <v>466</v>
      </c>
      <c r="B19" t="s">
        <v>458</v>
      </c>
      <c r="C19" t="s">
        <v>467</v>
      </c>
      <c r="D19" t="s">
        <v>10</v>
      </c>
      <c r="E19" s="1">
        <v>45782</v>
      </c>
      <c r="F19" s="1">
        <v>46005</v>
      </c>
      <c r="G19" t="s">
        <v>468</v>
      </c>
      <c r="H19" t="s">
        <v>23</v>
      </c>
      <c r="J19">
        <v>29</v>
      </c>
      <c r="K19">
        <f t="shared" si="0"/>
        <v>0.18124999999999999</v>
      </c>
    </row>
    <row r="20" spans="1:11" x14ac:dyDescent="0.3">
      <c r="A20" t="s">
        <v>488</v>
      </c>
      <c r="B20" t="s">
        <v>110</v>
      </c>
      <c r="C20" t="s">
        <v>489</v>
      </c>
      <c r="D20" t="s">
        <v>21</v>
      </c>
      <c r="E20" s="1">
        <v>45700</v>
      </c>
      <c r="F20" s="1">
        <v>46078</v>
      </c>
      <c r="G20" t="s">
        <v>490</v>
      </c>
      <c r="H20" t="s">
        <v>23</v>
      </c>
      <c r="J20">
        <v>40</v>
      </c>
      <c r="K20">
        <f t="shared" si="0"/>
        <v>0.25</v>
      </c>
    </row>
    <row r="21" spans="1:11" x14ac:dyDescent="0.3">
      <c r="A21" t="s">
        <v>506</v>
      </c>
      <c r="B21" t="s">
        <v>403</v>
      </c>
      <c r="C21" t="s">
        <v>507</v>
      </c>
      <c r="D21" t="s">
        <v>153</v>
      </c>
      <c r="E21" s="1">
        <v>45432</v>
      </c>
      <c r="F21" s="1">
        <v>45868</v>
      </c>
      <c r="G21" t="s">
        <v>508</v>
      </c>
      <c r="H21" t="s">
        <v>23</v>
      </c>
      <c r="J21">
        <v>0</v>
      </c>
      <c r="K21">
        <f t="shared" si="0"/>
        <v>0</v>
      </c>
    </row>
    <row r="22" spans="1:11" x14ac:dyDescent="0.3">
      <c r="A22" t="s">
        <v>552</v>
      </c>
      <c r="B22" t="s">
        <v>110</v>
      </c>
      <c r="C22" t="s">
        <v>489</v>
      </c>
      <c r="D22" t="s">
        <v>153</v>
      </c>
      <c r="E22" s="1">
        <v>45810</v>
      </c>
      <c r="F22" s="1">
        <v>45960</v>
      </c>
      <c r="G22" t="s">
        <v>553</v>
      </c>
      <c r="H22" t="s">
        <v>23</v>
      </c>
      <c r="J22">
        <v>0</v>
      </c>
      <c r="K22">
        <f t="shared" si="0"/>
        <v>0</v>
      </c>
    </row>
    <row r="23" spans="1:11" x14ac:dyDescent="0.3">
      <c r="A23" t="s">
        <v>612</v>
      </c>
      <c r="B23" t="s">
        <v>613</v>
      </c>
      <c r="C23" t="s">
        <v>614</v>
      </c>
      <c r="D23" t="s">
        <v>46</v>
      </c>
      <c r="E23" s="1">
        <v>45166</v>
      </c>
      <c r="F23" s="1">
        <v>46388</v>
      </c>
      <c r="G23" t="s">
        <v>615</v>
      </c>
      <c r="H23" t="s">
        <v>23</v>
      </c>
      <c r="J23">
        <v>12</v>
      </c>
      <c r="K23">
        <f t="shared" si="0"/>
        <v>7.4999999999999997E-2</v>
      </c>
    </row>
    <row r="24" spans="1:11" x14ac:dyDescent="0.3">
      <c r="A24" t="s">
        <v>616</v>
      </c>
      <c r="B24" t="s">
        <v>613</v>
      </c>
      <c r="C24" t="s">
        <v>614</v>
      </c>
      <c r="D24" t="s">
        <v>46</v>
      </c>
      <c r="E24" s="1">
        <v>45166</v>
      </c>
      <c r="F24" s="1">
        <v>46388</v>
      </c>
      <c r="G24" t="s">
        <v>617</v>
      </c>
      <c r="H24" t="s">
        <v>23</v>
      </c>
      <c r="J24">
        <v>1</v>
      </c>
      <c r="K24">
        <f t="shared" si="0"/>
        <v>6.2500000000000003E-3</v>
      </c>
    </row>
    <row r="25" spans="1:11" x14ac:dyDescent="0.3">
      <c r="A25" t="s">
        <v>621</v>
      </c>
      <c r="B25" t="s">
        <v>613</v>
      </c>
      <c r="C25" t="s">
        <v>614</v>
      </c>
      <c r="D25" t="s">
        <v>46</v>
      </c>
      <c r="E25" s="1">
        <v>45166</v>
      </c>
      <c r="F25" s="1">
        <v>46388</v>
      </c>
      <c r="G25" t="s">
        <v>622</v>
      </c>
      <c r="H25" t="s">
        <v>23</v>
      </c>
      <c r="J25">
        <v>8</v>
      </c>
      <c r="K25">
        <f t="shared" si="0"/>
        <v>0.05</v>
      </c>
    </row>
    <row r="26" spans="1:11" x14ac:dyDescent="0.3">
      <c r="A26" t="s">
        <v>625</v>
      </c>
      <c r="J26">
        <v>0</v>
      </c>
      <c r="K26">
        <f t="shared" si="0"/>
        <v>0</v>
      </c>
    </row>
    <row r="27" spans="1:11" x14ac:dyDescent="0.3">
      <c r="A27" t="s">
        <v>626</v>
      </c>
      <c r="J27">
        <f>SUM(J7:J26)</f>
        <v>160</v>
      </c>
      <c r="K27">
        <f>SUM(K7:K26)</f>
        <v>1</v>
      </c>
    </row>
  </sheetData>
  <phoneticPr fontId="1"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15"/>
  <sheetViews>
    <sheetView workbookViewId="0"/>
  </sheetViews>
  <sheetFormatPr defaultRowHeight="14.5" x14ac:dyDescent="0.3"/>
  <sheetData>
    <row r="1" spans="1:11" x14ac:dyDescent="0.3">
      <c r="A1" t="s">
        <v>0</v>
      </c>
    </row>
    <row r="2" spans="1:11" x14ac:dyDescent="0.3">
      <c r="A2" t="s">
        <v>1</v>
      </c>
    </row>
    <row r="3" spans="1:11" x14ac:dyDescent="0.3">
      <c r="A3" t="s">
        <v>2</v>
      </c>
      <c r="B3" t="s">
        <v>630</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38" si="0">J7/$J$115</f>
        <v>0</v>
      </c>
    </row>
    <row r="8" spans="1:11" x14ac:dyDescent="0.3">
      <c r="A8" t="s">
        <v>18</v>
      </c>
      <c r="B8" t="s">
        <v>19</v>
      </c>
      <c r="C8" t="s">
        <v>20</v>
      </c>
      <c r="D8" t="s">
        <v>21</v>
      </c>
      <c r="E8" s="1">
        <v>45194</v>
      </c>
      <c r="F8" s="1">
        <v>46087</v>
      </c>
      <c r="G8" t="s">
        <v>22</v>
      </c>
      <c r="H8" t="s">
        <v>23</v>
      </c>
      <c r="J8">
        <v>2</v>
      </c>
      <c r="K8">
        <f t="shared" si="0"/>
        <v>1.817355747387551E-3</v>
      </c>
    </row>
    <row r="9" spans="1:11" x14ac:dyDescent="0.3">
      <c r="A9" t="s">
        <v>24</v>
      </c>
      <c r="B9" t="s">
        <v>19</v>
      </c>
      <c r="C9" t="s">
        <v>25</v>
      </c>
      <c r="D9" t="s">
        <v>26</v>
      </c>
      <c r="E9" s="1">
        <v>45737</v>
      </c>
      <c r="F9" s="1">
        <v>46022</v>
      </c>
      <c r="G9" t="s">
        <v>27</v>
      </c>
      <c r="H9" t="s">
        <v>23</v>
      </c>
      <c r="J9">
        <v>3</v>
      </c>
      <c r="K9">
        <f t="shared" si="0"/>
        <v>2.7260336210813267E-3</v>
      </c>
    </row>
    <row r="10" spans="1:11" x14ac:dyDescent="0.3">
      <c r="A10" t="s">
        <v>28</v>
      </c>
      <c r="B10" t="s">
        <v>19</v>
      </c>
      <c r="C10" t="s">
        <v>29</v>
      </c>
      <c r="D10" t="s">
        <v>26</v>
      </c>
      <c r="E10" s="1">
        <v>45670</v>
      </c>
      <c r="F10" s="1">
        <v>46022</v>
      </c>
      <c r="G10" t="s">
        <v>30</v>
      </c>
      <c r="H10" t="s">
        <v>23</v>
      </c>
      <c r="J10">
        <v>0</v>
      </c>
      <c r="K10">
        <f t="shared" si="0"/>
        <v>0</v>
      </c>
    </row>
    <row r="11" spans="1:11" x14ac:dyDescent="0.3">
      <c r="A11" t="s">
        <v>31</v>
      </c>
      <c r="B11" t="s">
        <v>19</v>
      </c>
      <c r="C11" t="s">
        <v>32</v>
      </c>
      <c r="D11" t="s">
        <v>26</v>
      </c>
      <c r="E11" s="1">
        <v>45733</v>
      </c>
      <c r="F11" s="1">
        <v>46022</v>
      </c>
      <c r="G11" t="s">
        <v>33</v>
      </c>
      <c r="H11" t="s">
        <v>23</v>
      </c>
      <c r="J11">
        <v>1</v>
      </c>
      <c r="K11">
        <f t="shared" si="0"/>
        <v>9.0867787369377552E-4</v>
      </c>
    </row>
    <row r="12" spans="1:11" x14ac:dyDescent="0.3">
      <c r="A12" t="s">
        <v>34</v>
      </c>
      <c r="B12" t="s">
        <v>19</v>
      </c>
      <c r="C12" t="s">
        <v>20</v>
      </c>
      <c r="D12" t="s">
        <v>26</v>
      </c>
      <c r="E12" s="1">
        <v>45607</v>
      </c>
      <c r="F12" s="1">
        <v>45869</v>
      </c>
      <c r="G12" t="s">
        <v>35</v>
      </c>
      <c r="H12" t="s">
        <v>23</v>
      </c>
      <c r="J12">
        <v>0</v>
      </c>
      <c r="K12">
        <f t="shared" si="0"/>
        <v>0</v>
      </c>
    </row>
    <row r="13" spans="1:11" x14ac:dyDescent="0.3">
      <c r="A13" t="s">
        <v>36</v>
      </c>
      <c r="B13" t="s">
        <v>19</v>
      </c>
      <c r="C13" t="s">
        <v>37</v>
      </c>
      <c r="D13" t="s">
        <v>38</v>
      </c>
      <c r="E13" s="1">
        <v>45565</v>
      </c>
      <c r="F13" s="1">
        <v>45900</v>
      </c>
      <c r="G13" t="s">
        <v>39</v>
      </c>
      <c r="H13" t="s">
        <v>23</v>
      </c>
      <c r="J13">
        <v>0</v>
      </c>
      <c r="K13">
        <f t="shared" si="0"/>
        <v>0</v>
      </c>
    </row>
    <row r="14" spans="1:11" x14ac:dyDescent="0.3">
      <c r="A14" t="s">
        <v>40</v>
      </c>
      <c r="B14" t="s">
        <v>19</v>
      </c>
      <c r="C14" t="s">
        <v>41</v>
      </c>
      <c r="D14" t="s">
        <v>38</v>
      </c>
      <c r="E14" s="1">
        <v>45824</v>
      </c>
      <c r="F14" s="1">
        <v>46063</v>
      </c>
      <c r="G14" t="s">
        <v>42</v>
      </c>
      <c r="H14" t="s">
        <v>23</v>
      </c>
      <c r="J14">
        <v>20.5</v>
      </c>
      <c r="K14">
        <f t="shared" si="0"/>
        <v>1.8627896410722398E-2</v>
      </c>
    </row>
    <row r="15" spans="1:11" x14ac:dyDescent="0.3">
      <c r="A15" t="s">
        <v>43</v>
      </c>
      <c r="B15" t="s">
        <v>44</v>
      </c>
      <c r="C15" t="s">
        <v>45</v>
      </c>
      <c r="D15" t="s">
        <v>46</v>
      </c>
      <c r="E15" s="1">
        <v>45547</v>
      </c>
      <c r="F15" s="1">
        <v>45991</v>
      </c>
      <c r="G15" t="s">
        <v>47</v>
      </c>
      <c r="H15" t="s">
        <v>23</v>
      </c>
      <c r="J15">
        <v>0</v>
      </c>
      <c r="K15">
        <f t="shared" si="0"/>
        <v>0</v>
      </c>
    </row>
    <row r="16" spans="1:11" x14ac:dyDescent="0.3">
      <c r="A16" t="s">
        <v>61</v>
      </c>
      <c r="B16" t="s">
        <v>62</v>
      </c>
      <c r="C16" t="s">
        <v>63</v>
      </c>
      <c r="D16" t="s">
        <v>64</v>
      </c>
      <c r="E16" s="1">
        <v>45740</v>
      </c>
      <c r="F16" s="1">
        <v>46049</v>
      </c>
      <c r="G16" t="s">
        <v>65</v>
      </c>
      <c r="H16" t="s">
        <v>23</v>
      </c>
      <c r="J16">
        <v>0</v>
      </c>
      <c r="K16">
        <f t="shared" si="0"/>
        <v>0</v>
      </c>
    </row>
    <row r="17" spans="1:11" x14ac:dyDescent="0.3">
      <c r="A17" t="s">
        <v>75</v>
      </c>
      <c r="B17" t="s">
        <v>76</v>
      </c>
      <c r="C17" t="s">
        <v>77</v>
      </c>
      <c r="D17" t="s">
        <v>78</v>
      </c>
      <c r="E17" s="1">
        <v>45509</v>
      </c>
      <c r="F17" s="1">
        <v>46203</v>
      </c>
      <c r="G17" t="s">
        <v>79</v>
      </c>
      <c r="H17" t="s">
        <v>23</v>
      </c>
      <c r="J17">
        <v>60</v>
      </c>
      <c r="K17">
        <f t="shared" si="0"/>
        <v>5.4520672421626531E-2</v>
      </c>
    </row>
    <row r="18" spans="1:11" x14ac:dyDescent="0.3">
      <c r="A18" t="s">
        <v>84</v>
      </c>
      <c r="B18" t="s">
        <v>85</v>
      </c>
      <c r="C18" t="s">
        <v>86</v>
      </c>
      <c r="D18" t="s">
        <v>78</v>
      </c>
      <c r="E18" s="1">
        <v>45839</v>
      </c>
      <c r="F18" s="1">
        <v>46234</v>
      </c>
      <c r="G18" t="s">
        <v>87</v>
      </c>
      <c r="H18" t="s">
        <v>23</v>
      </c>
      <c r="J18">
        <v>0</v>
      </c>
      <c r="K18">
        <f t="shared" si="0"/>
        <v>0</v>
      </c>
    </row>
    <row r="19" spans="1:11" x14ac:dyDescent="0.3">
      <c r="A19" t="s">
        <v>88</v>
      </c>
      <c r="B19" t="s">
        <v>85</v>
      </c>
      <c r="C19" t="s">
        <v>89</v>
      </c>
      <c r="D19" t="s">
        <v>78</v>
      </c>
      <c r="E19" s="1">
        <v>45509</v>
      </c>
      <c r="F19" s="1">
        <v>46112</v>
      </c>
      <c r="G19" t="s">
        <v>90</v>
      </c>
      <c r="H19" t="s">
        <v>23</v>
      </c>
      <c r="J19">
        <v>4</v>
      </c>
      <c r="K19">
        <f t="shared" si="0"/>
        <v>3.6347114947751021E-3</v>
      </c>
    </row>
    <row r="20" spans="1:11" x14ac:dyDescent="0.3">
      <c r="A20" t="s">
        <v>106</v>
      </c>
      <c r="B20" t="s">
        <v>107</v>
      </c>
      <c r="C20" t="s">
        <v>107</v>
      </c>
      <c r="D20" t="s">
        <v>10</v>
      </c>
      <c r="E20" s="1">
        <v>45698</v>
      </c>
      <c r="F20" s="1">
        <v>46387</v>
      </c>
      <c r="G20" t="s">
        <v>108</v>
      </c>
      <c r="H20" t="s">
        <v>23</v>
      </c>
      <c r="J20">
        <v>0</v>
      </c>
      <c r="K20">
        <f t="shared" si="0"/>
        <v>0</v>
      </c>
    </row>
    <row r="21" spans="1:11" x14ac:dyDescent="0.3">
      <c r="A21" t="s">
        <v>113</v>
      </c>
      <c r="B21" t="s">
        <v>114</v>
      </c>
      <c r="C21" t="s">
        <v>115</v>
      </c>
      <c r="D21" t="s">
        <v>21</v>
      </c>
      <c r="E21" s="1">
        <v>45845</v>
      </c>
      <c r="F21" s="1">
        <v>46077</v>
      </c>
      <c r="G21" t="s">
        <v>116</v>
      </c>
      <c r="H21" t="s">
        <v>23</v>
      </c>
      <c r="J21">
        <v>16</v>
      </c>
      <c r="K21">
        <f t="shared" si="0"/>
        <v>1.4538845979100408E-2</v>
      </c>
    </row>
    <row r="22" spans="1:11" x14ac:dyDescent="0.3">
      <c r="A22" t="s">
        <v>117</v>
      </c>
      <c r="B22" t="s">
        <v>19</v>
      </c>
      <c r="C22" t="s">
        <v>118</v>
      </c>
      <c r="D22" t="s">
        <v>10</v>
      </c>
      <c r="E22" s="1">
        <v>45621</v>
      </c>
      <c r="F22" s="1">
        <v>46234</v>
      </c>
      <c r="G22" t="s">
        <v>119</v>
      </c>
      <c r="H22" t="s">
        <v>23</v>
      </c>
      <c r="J22">
        <v>90</v>
      </c>
      <c r="K22">
        <f t="shared" si="0"/>
        <v>8.1781008632439797E-2</v>
      </c>
    </row>
    <row r="23" spans="1:11" x14ac:dyDescent="0.3">
      <c r="A23" t="s">
        <v>120</v>
      </c>
      <c r="B23" t="s">
        <v>76</v>
      </c>
      <c r="C23" t="s">
        <v>121</v>
      </c>
      <c r="D23" t="s">
        <v>10</v>
      </c>
      <c r="E23" s="1">
        <v>45733</v>
      </c>
      <c r="F23" s="1">
        <v>46234</v>
      </c>
      <c r="G23" t="s">
        <v>122</v>
      </c>
      <c r="H23" t="s">
        <v>23</v>
      </c>
      <c r="J23">
        <v>0</v>
      </c>
      <c r="K23">
        <f t="shared" si="0"/>
        <v>0</v>
      </c>
    </row>
    <row r="24" spans="1:11" x14ac:dyDescent="0.3">
      <c r="A24" t="s">
        <v>142</v>
      </c>
      <c r="B24" t="s">
        <v>85</v>
      </c>
      <c r="C24" t="s">
        <v>86</v>
      </c>
      <c r="D24" t="s">
        <v>126</v>
      </c>
      <c r="E24" s="1">
        <v>45789</v>
      </c>
      <c r="F24" s="1">
        <v>46142</v>
      </c>
      <c r="G24" t="s">
        <v>143</v>
      </c>
      <c r="H24" t="s">
        <v>23</v>
      </c>
      <c r="J24">
        <v>0</v>
      </c>
      <c r="K24">
        <f t="shared" si="0"/>
        <v>0</v>
      </c>
    </row>
    <row r="25" spans="1:11" x14ac:dyDescent="0.3">
      <c r="A25" t="s">
        <v>146</v>
      </c>
      <c r="B25" t="s">
        <v>147</v>
      </c>
      <c r="C25" t="s">
        <v>148</v>
      </c>
      <c r="D25" t="s">
        <v>149</v>
      </c>
      <c r="E25" s="1">
        <v>45817</v>
      </c>
      <c r="F25" s="1">
        <v>46112</v>
      </c>
      <c r="G25" t="s">
        <v>150</v>
      </c>
      <c r="H25" t="s">
        <v>23</v>
      </c>
      <c r="J25">
        <v>0</v>
      </c>
      <c r="K25">
        <f t="shared" si="0"/>
        <v>0</v>
      </c>
    </row>
    <row r="26" spans="1:11" x14ac:dyDescent="0.3">
      <c r="A26" t="s">
        <v>151</v>
      </c>
      <c r="B26" t="s">
        <v>152</v>
      </c>
      <c r="C26" t="s">
        <v>152</v>
      </c>
      <c r="D26" t="s">
        <v>153</v>
      </c>
      <c r="E26" s="1">
        <v>45607</v>
      </c>
      <c r="F26" s="1">
        <v>46022</v>
      </c>
      <c r="G26" t="s">
        <v>154</v>
      </c>
      <c r="H26" t="s">
        <v>23</v>
      </c>
      <c r="J26">
        <v>10</v>
      </c>
      <c r="K26">
        <f t="shared" si="0"/>
        <v>9.0867787369377558E-3</v>
      </c>
    </row>
    <row r="27" spans="1:11" x14ac:dyDescent="0.3">
      <c r="A27" t="s">
        <v>188</v>
      </c>
      <c r="B27" t="s">
        <v>44</v>
      </c>
      <c r="C27" t="s">
        <v>189</v>
      </c>
      <c r="D27" t="s">
        <v>190</v>
      </c>
      <c r="E27" s="1">
        <v>45656</v>
      </c>
      <c r="F27" s="1">
        <v>46081</v>
      </c>
      <c r="G27" t="s">
        <v>191</v>
      </c>
      <c r="H27" t="s">
        <v>23</v>
      </c>
      <c r="J27">
        <v>8.5</v>
      </c>
      <c r="K27">
        <f t="shared" si="0"/>
        <v>7.7237619263970918E-3</v>
      </c>
    </row>
    <row r="28" spans="1:11" x14ac:dyDescent="0.3">
      <c r="A28" t="s">
        <v>192</v>
      </c>
      <c r="B28" t="s">
        <v>107</v>
      </c>
      <c r="C28" t="s">
        <v>107</v>
      </c>
      <c r="D28" t="s">
        <v>190</v>
      </c>
      <c r="E28" s="1">
        <v>45740</v>
      </c>
      <c r="F28" s="1">
        <v>46387</v>
      </c>
      <c r="G28" t="s">
        <v>193</v>
      </c>
      <c r="H28" t="s">
        <v>23</v>
      </c>
      <c r="J28">
        <v>1</v>
      </c>
      <c r="K28">
        <f t="shared" si="0"/>
        <v>9.0867787369377552E-4</v>
      </c>
    </row>
    <row r="29" spans="1:11" x14ac:dyDescent="0.3">
      <c r="A29" t="s">
        <v>197</v>
      </c>
      <c r="B29" t="s">
        <v>198</v>
      </c>
      <c r="C29" t="s">
        <v>198</v>
      </c>
      <c r="D29" t="s">
        <v>199</v>
      </c>
      <c r="E29" s="1">
        <v>45698</v>
      </c>
      <c r="F29" s="1">
        <v>45940</v>
      </c>
      <c r="G29" t="s">
        <v>200</v>
      </c>
      <c r="H29" t="s">
        <v>23</v>
      </c>
      <c r="J29">
        <v>4</v>
      </c>
      <c r="K29">
        <f t="shared" si="0"/>
        <v>3.6347114947751021E-3</v>
      </c>
    </row>
    <row r="30" spans="1:11" x14ac:dyDescent="0.3">
      <c r="A30" t="s">
        <v>201</v>
      </c>
      <c r="B30" t="s">
        <v>44</v>
      </c>
      <c r="C30" t="s">
        <v>202</v>
      </c>
      <c r="D30" t="s">
        <v>199</v>
      </c>
      <c r="E30" s="1">
        <v>45530</v>
      </c>
      <c r="F30" s="1">
        <v>45939</v>
      </c>
      <c r="G30" t="s">
        <v>203</v>
      </c>
      <c r="H30" t="s">
        <v>23</v>
      </c>
      <c r="J30">
        <v>9.5</v>
      </c>
      <c r="K30">
        <f t="shared" si="0"/>
        <v>8.6324398000908673E-3</v>
      </c>
    </row>
    <row r="31" spans="1:11" x14ac:dyDescent="0.3">
      <c r="A31" t="s">
        <v>204</v>
      </c>
      <c r="B31" t="s">
        <v>205</v>
      </c>
      <c r="C31" t="s">
        <v>206</v>
      </c>
      <c r="D31" t="s">
        <v>153</v>
      </c>
      <c r="E31" s="1">
        <v>45166</v>
      </c>
      <c r="F31" s="1">
        <v>46387</v>
      </c>
      <c r="G31" t="s">
        <v>207</v>
      </c>
      <c r="H31" t="s">
        <v>23</v>
      </c>
      <c r="J31">
        <v>26</v>
      </c>
      <c r="K31">
        <f t="shared" si="0"/>
        <v>2.3625624716038164E-2</v>
      </c>
    </row>
    <row r="32" spans="1:11" x14ac:dyDescent="0.3">
      <c r="A32" t="s">
        <v>208</v>
      </c>
      <c r="B32" t="s">
        <v>152</v>
      </c>
      <c r="C32" t="s">
        <v>152</v>
      </c>
      <c r="D32" t="s">
        <v>153</v>
      </c>
      <c r="E32" s="1">
        <v>45642</v>
      </c>
      <c r="F32" s="1">
        <v>46387</v>
      </c>
      <c r="G32" t="s">
        <v>209</v>
      </c>
      <c r="H32" t="s">
        <v>23</v>
      </c>
      <c r="J32">
        <v>0</v>
      </c>
      <c r="K32">
        <f t="shared" si="0"/>
        <v>0</v>
      </c>
    </row>
    <row r="33" spans="1:11" x14ac:dyDescent="0.3">
      <c r="A33" t="s">
        <v>210</v>
      </c>
      <c r="B33" t="s">
        <v>107</v>
      </c>
      <c r="C33" t="s">
        <v>107</v>
      </c>
      <c r="D33" t="s">
        <v>153</v>
      </c>
      <c r="E33" s="1">
        <v>45698</v>
      </c>
      <c r="F33" s="1">
        <v>46387</v>
      </c>
      <c r="G33" t="s">
        <v>211</v>
      </c>
      <c r="H33" t="s">
        <v>23</v>
      </c>
      <c r="J33">
        <v>1</v>
      </c>
      <c r="K33">
        <f t="shared" si="0"/>
        <v>9.0867787369377552E-4</v>
      </c>
    </row>
    <row r="34" spans="1:11" x14ac:dyDescent="0.3">
      <c r="A34" t="s">
        <v>212</v>
      </c>
      <c r="B34" t="s">
        <v>152</v>
      </c>
      <c r="C34" t="s">
        <v>152</v>
      </c>
      <c r="D34" t="s">
        <v>153</v>
      </c>
      <c r="E34" s="1">
        <v>45733</v>
      </c>
      <c r="F34" s="1">
        <v>46387</v>
      </c>
      <c r="G34" t="s">
        <v>213</v>
      </c>
      <c r="H34" t="s">
        <v>23</v>
      </c>
      <c r="J34">
        <v>0</v>
      </c>
      <c r="K34">
        <f t="shared" si="0"/>
        <v>0</v>
      </c>
    </row>
    <row r="35" spans="1:11" x14ac:dyDescent="0.3">
      <c r="A35" t="s">
        <v>219</v>
      </c>
      <c r="B35" t="s">
        <v>107</v>
      </c>
      <c r="C35" t="s">
        <v>220</v>
      </c>
      <c r="D35" t="s">
        <v>221</v>
      </c>
      <c r="E35" s="1">
        <v>45838</v>
      </c>
      <c r="F35" s="1">
        <v>46022</v>
      </c>
      <c r="G35" t="s">
        <v>222</v>
      </c>
      <c r="H35" t="s">
        <v>23</v>
      </c>
      <c r="J35">
        <v>0</v>
      </c>
      <c r="K35">
        <f t="shared" si="0"/>
        <v>0</v>
      </c>
    </row>
    <row r="36" spans="1:11" x14ac:dyDescent="0.3">
      <c r="A36" t="s">
        <v>223</v>
      </c>
      <c r="B36" t="s">
        <v>224</v>
      </c>
      <c r="C36" t="s">
        <v>225</v>
      </c>
      <c r="D36" t="s">
        <v>199</v>
      </c>
      <c r="E36" s="1">
        <v>45446</v>
      </c>
      <c r="F36" s="1">
        <v>46021</v>
      </c>
      <c r="G36" t="s">
        <v>226</v>
      </c>
      <c r="H36" t="s">
        <v>23</v>
      </c>
      <c r="J36">
        <v>2</v>
      </c>
      <c r="K36">
        <f t="shared" si="0"/>
        <v>1.817355747387551E-3</v>
      </c>
    </row>
    <row r="37" spans="1:11" x14ac:dyDescent="0.3">
      <c r="A37" t="s">
        <v>227</v>
      </c>
      <c r="B37" t="s">
        <v>85</v>
      </c>
      <c r="C37" t="s">
        <v>86</v>
      </c>
      <c r="D37" t="s">
        <v>228</v>
      </c>
      <c r="E37" s="1">
        <v>45621</v>
      </c>
      <c r="F37" s="1">
        <v>45900</v>
      </c>
      <c r="G37" t="s">
        <v>229</v>
      </c>
      <c r="H37" t="s">
        <v>23</v>
      </c>
      <c r="J37">
        <v>0</v>
      </c>
      <c r="K37">
        <f t="shared" si="0"/>
        <v>0</v>
      </c>
    </row>
    <row r="38" spans="1:11" x14ac:dyDescent="0.3">
      <c r="A38" t="s">
        <v>230</v>
      </c>
      <c r="B38" t="s">
        <v>147</v>
      </c>
      <c r="C38" t="s">
        <v>20</v>
      </c>
      <c r="D38" t="s">
        <v>228</v>
      </c>
      <c r="E38" s="1">
        <v>45376</v>
      </c>
      <c r="F38" s="1">
        <v>46022</v>
      </c>
      <c r="G38" t="s">
        <v>231</v>
      </c>
      <c r="H38" t="s">
        <v>23</v>
      </c>
      <c r="J38">
        <v>0</v>
      </c>
      <c r="K38">
        <f t="shared" si="0"/>
        <v>0</v>
      </c>
    </row>
    <row r="39" spans="1:11" x14ac:dyDescent="0.3">
      <c r="A39" t="s">
        <v>235</v>
      </c>
      <c r="B39" t="s">
        <v>147</v>
      </c>
      <c r="C39" t="s">
        <v>236</v>
      </c>
      <c r="D39" t="s">
        <v>228</v>
      </c>
      <c r="E39" s="1">
        <v>45810</v>
      </c>
      <c r="F39" s="1">
        <v>45856</v>
      </c>
      <c r="G39" t="s">
        <v>237</v>
      </c>
      <c r="H39" t="s">
        <v>23</v>
      </c>
      <c r="J39">
        <v>0</v>
      </c>
      <c r="K39">
        <f t="shared" ref="K39:K70" si="1">J39/$J$115</f>
        <v>0</v>
      </c>
    </row>
    <row r="40" spans="1:11" x14ac:dyDescent="0.3">
      <c r="A40" t="s">
        <v>238</v>
      </c>
      <c r="B40" t="s">
        <v>85</v>
      </c>
      <c r="C40" t="s">
        <v>86</v>
      </c>
      <c r="D40" t="s">
        <v>149</v>
      </c>
      <c r="E40" s="1">
        <v>45705</v>
      </c>
      <c r="F40" s="1">
        <v>46022</v>
      </c>
      <c r="G40" t="s">
        <v>239</v>
      </c>
      <c r="H40" t="s">
        <v>23</v>
      </c>
      <c r="J40">
        <v>0</v>
      </c>
      <c r="K40">
        <f t="shared" si="1"/>
        <v>0</v>
      </c>
    </row>
    <row r="41" spans="1:11" x14ac:dyDescent="0.3">
      <c r="A41" t="s">
        <v>240</v>
      </c>
      <c r="B41" t="s">
        <v>241</v>
      </c>
      <c r="C41" t="s">
        <v>242</v>
      </c>
      <c r="D41" t="s">
        <v>149</v>
      </c>
      <c r="E41" s="1">
        <v>45719</v>
      </c>
      <c r="F41" s="1">
        <v>46022</v>
      </c>
      <c r="G41" t="s">
        <v>243</v>
      </c>
      <c r="H41" t="s">
        <v>23</v>
      </c>
      <c r="J41">
        <v>9</v>
      </c>
      <c r="K41">
        <f t="shared" si="1"/>
        <v>8.1781008632439804E-3</v>
      </c>
    </row>
    <row r="42" spans="1:11" x14ac:dyDescent="0.3">
      <c r="A42" t="s">
        <v>289</v>
      </c>
      <c r="B42" t="s">
        <v>147</v>
      </c>
      <c r="C42" t="s">
        <v>147</v>
      </c>
      <c r="D42" t="s">
        <v>228</v>
      </c>
      <c r="E42" s="1">
        <v>45761</v>
      </c>
      <c r="F42" s="1">
        <v>46081</v>
      </c>
      <c r="G42" t="s">
        <v>290</v>
      </c>
      <c r="H42" t="s">
        <v>23</v>
      </c>
      <c r="J42">
        <v>0</v>
      </c>
      <c r="K42">
        <f t="shared" si="1"/>
        <v>0</v>
      </c>
    </row>
    <row r="43" spans="1:11" x14ac:dyDescent="0.3">
      <c r="A43" t="s">
        <v>291</v>
      </c>
      <c r="B43" t="s">
        <v>76</v>
      </c>
      <c r="C43" t="s">
        <v>292</v>
      </c>
      <c r="D43" t="s">
        <v>10</v>
      </c>
      <c r="E43" s="1">
        <v>45474</v>
      </c>
      <c r="F43" s="1">
        <v>46081</v>
      </c>
      <c r="G43" t="s">
        <v>293</v>
      </c>
      <c r="H43" t="s">
        <v>23</v>
      </c>
      <c r="J43">
        <v>0</v>
      </c>
      <c r="K43">
        <f t="shared" si="1"/>
        <v>0</v>
      </c>
    </row>
    <row r="44" spans="1:11" x14ac:dyDescent="0.3">
      <c r="A44" t="s">
        <v>301</v>
      </c>
      <c r="B44" t="s">
        <v>205</v>
      </c>
      <c r="C44" t="s">
        <v>302</v>
      </c>
      <c r="D44" t="s">
        <v>21</v>
      </c>
      <c r="E44" s="1">
        <v>45166</v>
      </c>
      <c r="F44" s="1">
        <v>46022</v>
      </c>
      <c r="G44" t="s">
        <v>303</v>
      </c>
      <c r="H44" t="s">
        <v>23</v>
      </c>
      <c r="J44">
        <v>0</v>
      </c>
      <c r="K44">
        <f t="shared" si="1"/>
        <v>0</v>
      </c>
    </row>
    <row r="45" spans="1:11" x14ac:dyDescent="0.3">
      <c r="A45" t="s">
        <v>304</v>
      </c>
      <c r="B45" t="s">
        <v>49</v>
      </c>
      <c r="C45" t="s">
        <v>305</v>
      </c>
      <c r="D45" t="s">
        <v>21</v>
      </c>
      <c r="E45" s="1">
        <v>45166</v>
      </c>
      <c r="F45" s="1">
        <v>46079</v>
      </c>
      <c r="G45" t="s">
        <v>306</v>
      </c>
      <c r="H45" t="s">
        <v>23</v>
      </c>
      <c r="J45">
        <v>0</v>
      </c>
      <c r="K45">
        <f t="shared" si="1"/>
        <v>0</v>
      </c>
    </row>
    <row r="46" spans="1:11" x14ac:dyDescent="0.3">
      <c r="A46" t="s">
        <v>307</v>
      </c>
      <c r="B46" t="s">
        <v>107</v>
      </c>
      <c r="C46" t="s">
        <v>107</v>
      </c>
      <c r="D46" t="s">
        <v>21</v>
      </c>
      <c r="E46" s="1">
        <v>45698</v>
      </c>
      <c r="F46" s="1">
        <v>46387</v>
      </c>
      <c r="G46" t="s">
        <v>308</v>
      </c>
      <c r="H46" t="s">
        <v>23</v>
      </c>
      <c r="J46">
        <v>1</v>
      </c>
      <c r="K46">
        <f t="shared" si="1"/>
        <v>9.0867787369377552E-4</v>
      </c>
    </row>
    <row r="47" spans="1:11" x14ac:dyDescent="0.3">
      <c r="A47" t="s">
        <v>318</v>
      </c>
      <c r="B47" t="s">
        <v>114</v>
      </c>
      <c r="C47" t="s">
        <v>319</v>
      </c>
      <c r="D47" t="s">
        <v>21</v>
      </c>
      <c r="E47" s="1">
        <v>45719</v>
      </c>
      <c r="F47" s="1">
        <v>45860</v>
      </c>
      <c r="G47" t="s">
        <v>320</v>
      </c>
      <c r="H47" t="s">
        <v>23</v>
      </c>
      <c r="J47">
        <v>0</v>
      </c>
      <c r="K47">
        <f t="shared" si="1"/>
        <v>0</v>
      </c>
    </row>
    <row r="48" spans="1:11" x14ac:dyDescent="0.3">
      <c r="A48" t="s">
        <v>321</v>
      </c>
      <c r="B48" t="s">
        <v>44</v>
      </c>
      <c r="C48" t="s">
        <v>322</v>
      </c>
      <c r="D48" t="s">
        <v>21</v>
      </c>
      <c r="E48" s="1">
        <v>45397</v>
      </c>
      <c r="F48" s="1">
        <v>45975</v>
      </c>
      <c r="G48" t="s">
        <v>323</v>
      </c>
      <c r="H48" t="s">
        <v>23</v>
      </c>
      <c r="J48">
        <v>2</v>
      </c>
      <c r="K48">
        <f t="shared" si="1"/>
        <v>1.817355747387551E-3</v>
      </c>
    </row>
    <row r="49" spans="1:11" x14ac:dyDescent="0.3">
      <c r="A49" t="s">
        <v>324</v>
      </c>
      <c r="B49" t="s">
        <v>325</v>
      </c>
      <c r="C49" t="s">
        <v>326</v>
      </c>
      <c r="D49" t="s">
        <v>21</v>
      </c>
      <c r="E49" s="1">
        <v>45285</v>
      </c>
      <c r="F49" s="1">
        <v>45947</v>
      </c>
      <c r="G49" t="s">
        <v>327</v>
      </c>
      <c r="H49" t="s">
        <v>23</v>
      </c>
      <c r="J49">
        <v>4</v>
      </c>
      <c r="K49">
        <f t="shared" si="1"/>
        <v>3.6347114947751021E-3</v>
      </c>
    </row>
    <row r="50" spans="1:11" x14ac:dyDescent="0.3">
      <c r="A50" t="s">
        <v>328</v>
      </c>
      <c r="B50" t="s">
        <v>329</v>
      </c>
      <c r="C50" t="s">
        <v>330</v>
      </c>
      <c r="D50" t="s">
        <v>21</v>
      </c>
      <c r="E50" s="1">
        <v>45509</v>
      </c>
      <c r="F50" s="1">
        <v>45890</v>
      </c>
      <c r="G50" t="s">
        <v>331</v>
      </c>
      <c r="H50" t="s">
        <v>23</v>
      </c>
      <c r="J50">
        <v>0</v>
      </c>
      <c r="K50">
        <f t="shared" si="1"/>
        <v>0</v>
      </c>
    </row>
    <row r="51" spans="1:11" x14ac:dyDescent="0.3">
      <c r="A51" t="s">
        <v>332</v>
      </c>
      <c r="B51" t="s">
        <v>329</v>
      </c>
      <c r="C51" t="s">
        <v>329</v>
      </c>
      <c r="D51" t="s">
        <v>21</v>
      </c>
      <c r="E51" s="1">
        <v>45866</v>
      </c>
      <c r="F51" s="1">
        <v>46112</v>
      </c>
      <c r="G51" t="s">
        <v>333</v>
      </c>
      <c r="H51" t="s">
        <v>23</v>
      </c>
      <c r="J51">
        <v>6</v>
      </c>
      <c r="K51">
        <f t="shared" si="1"/>
        <v>5.4520672421626533E-3</v>
      </c>
    </row>
    <row r="52" spans="1:11" x14ac:dyDescent="0.3">
      <c r="A52" t="s">
        <v>334</v>
      </c>
      <c r="B52" t="s">
        <v>325</v>
      </c>
      <c r="C52" t="s">
        <v>325</v>
      </c>
      <c r="D52" t="s">
        <v>21</v>
      </c>
      <c r="E52" s="1">
        <v>45839</v>
      </c>
      <c r="F52" s="1">
        <v>46022</v>
      </c>
      <c r="G52" t="s">
        <v>335</v>
      </c>
      <c r="H52" t="s">
        <v>23</v>
      </c>
      <c r="J52">
        <v>16</v>
      </c>
      <c r="K52">
        <f t="shared" si="1"/>
        <v>1.4538845979100408E-2</v>
      </c>
    </row>
    <row r="53" spans="1:11" x14ac:dyDescent="0.3">
      <c r="A53" t="s">
        <v>336</v>
      </c>
      <c r="B53" t="s">
        <v>114</v>
      </c>
      <c r="C53" t="s">
        <v>337</v>
      </c>
      <c r="D53" t="s">
        <v>21</v>
      </c>
      <c r="E53" s="1">
        <v>45663</v>
      </c>
      <c r="F53" s="1">
        <v>45905</v>
      </c>
      <c r="G53" t="s">
        <v>338</v>
      </c>
      <c r="H53" t="s">
        <v>23</v>
      </c>
      <c r="J53">
        <v>0</v>
      </c>
      <c r="K53">
        <f t="shared" si="1"/>
        <v>0</v>
      </c>
    </row>
    <row r="54" spans="1:11" x14ac:dyDescent="0.3">
      <c r="A54" t="s">
        <v>339</v>
      </c>
      <c r="B54" t="s">
        <v>44</v>
      </c>
      <c r="C54" t="s">
        <v>322</v>
      </c>
      <c r="D54" t="s">
        <v>21</v>
      </c>
      <c r="E54" s="1">
        <v>45355</v>
      </c>
      <c r="F54" s="1">
        <v>46079</v>
      </c>
      <c r="G54" t="s">
        <v>340</v>
      </c>
      <c r="H54" t="s">
        <v>23</v>
      </c>
      <c r="J54">
        <v>21</v>
      </c>
      <c r="K54">
        <f t="shared" si="1"/>
        <v>1.9082235347569285E-2</v>
      </c>
    </row>
    <row r="55" spans="1:11" x14ac:dyDescent="0.3">
      <c r="A55" t="s">
        <v>341</v>
      </c>
      <c r="B55" t="s">
        <v>329</v>
      </c>
      <c r="C55" t="s">
        <v>342</v>
      </c>
      <c r="D55" t="s">
        <v>21</v>
      </c>
      <c r="E55" s="1">
        <v>45775</v>
      </c>
      <c r="F55" s="1">
        <v>46081</v>
      </c>
      <c r="G55" t="s">
        <v>343</v>
      </c>
      <c r="H55" t="s">
        <v>23</v>
      </c>
      <c r="J55">
        <v>23</v>
      </c>
      <c r="K55">
        <f t="shared" si="1"/>
        <v>2.0899591094956836E-2</v>
      </c>
    </row>
    <row r="56" spans="1:11" x14ac:dyDescent="0.3">
      <c r="A56" t="s">
        <v>344</v>
      </c>
      <c r="B56" t="s">
        <v>329</v>
      </c>
      <c r="C56" t="s">
        <v>329</v>
      </c>
      <c r="D56" t="s">
        <v>21</v>
      </c>
      <c r="E56" s="1">
        <v>45866</v>
      </c>
      <c r="F56" s="1">
        <v>46022</v>
      </c>
      <c r="G56" t="s">
        <v>345</v>
      </c>
      <c r="H56" t="s">
        <v>23</v>
      </c>
      <c r="J56">
        <v>20</v>
      </c>
      <c r="K56">
        <f t="shared" si="1"/>
        <v>1.8173557473875512E-2</v>
      </c>
    </row>
    <row r="57" spans="1:11" x14ac:dyDescent="0.3">
      <c r="A57" t="s">
        <v>346</v>
      </c>
      <c r="B57" t="s">
        <v>329</v>
      </c>
      <c r="C57" t="s">
        <v>347</v>
      </c>
      <c r="D57" t="s">
        <v>21</v>
      </c>
      <c r="E57" s="1">
        <v>45747</v>
      </c>
      <c r="F57" s="1">
        <v>45948</v>
      </c>
      <c r="G57" t="s">
        <v>348</v>
      </c>
      <c r="H57" t="s">
        <v>23</v>
      </c>
      <c r="J57">
        <v>0</v>
      </c>
      <c r="K57">
        <f t="shared" si="1"/>
        <v>0</v>
      </c>
    </row>
    <row r="58" spans="1:11" x14ac:dyDescent="0.3">
      <c r="A58" t="s">
        <v>349</v>
      </c>
      <c r="B58" t="s">
        <v>152</v>
      </c>
      <c r="C58" t="s">
        <v>152</v>
      </c>
      <c r="D58" t="s">
        <v>21</v>
      </c>
      <c r="E58" s="1">
        <v>45642</v>
      </c>
      <c r="F58" s="1">
        <v>45900</v>
      </c>
      <c r="G58" t="s">
        <v>350</v>
      </c>
      <c r="H58" t="s">
        <v>23</v>
      </c>
      <c r="J58">
        <v>0</v>
      </c>
      <c r="K58">
        <f t="shared" si="1"/>
        <v>0</v>
      </c>
    </row>
    <row r="59" spans="1:11" x14ac:dyDescent="0.3">
      <c r="A59" t="s">
        <v>351</v>
      </c>
      <c r="B59" t="s">
        <v>114</v>
      </c>
      <c r="C59" t="s">
        <v>352</v>
      </c>
      <c r="D59" t="s">
        <v>21</v>
      </c>
      <c r="E59" s="1">
        <v>45656</v>
      </c>
      <c r="F59" s="1">
        <v>45872</v>
      </c>
      <c r="G59" t="s">
        <v>353</v>
      </c>
      <c r="H59" t="s">
        <v>23</v>
      </c>
      <c r="J59">
        <v>0</v>
      </c>
      <c r="K59">
        <f t="shared" si="1"/>
        <v>0</v>
      </c>
    </row>
    <row r="60" spans="1:11" x14ac:dyDescent="0.3">
      <c r="A60" t="s">
        <v>354</v>
      </c>
      <c r="B60" t="s">
        <v>355</v>
      </c>
      <c r="C60" t="s">
        <v>356</v>
      </c>
      <c r="D60" t="s">
        <v>21</v>
      </c>
      <c r="E60" s="1">
        <v>45838</v>
      </c>
      <c r="F60" s="1">
        <v>45989</v>
      </c>
      <c r="G60" t="s">
        <v>357</v>
      </c>
      <c r="H60" t="s">
        <v>23</v>
      </c>
      <c r="J60">
        <v>57</v>
      </c>
      <c r="K60">
        <f t="shared" si="1"/>
        <v>5.1794638800545204E-2</v>
      </c>
    </row>
    <row r="61" spans="1:11" x14ac:dyDescent="0.3">
      <c r="A61" t="s">
        <v>358</v>
      </c>
      <c r="B61" t="s">
        <v>62</v>
      </c>
      <c r="C61" t="s">
        <v>62</v>
      </c>
      <c r="D61" t="s">
        <v>21</v>
      </c>
      <c r="E61" s="1">
        <v>45656</v>
      </c>
      <c r="F61" s="1">
        <v>46022</v>
      </c>
      <c r="G61" t="s">
        <v>359</v>
      </c>
      <c r="H61" t="s">
        <v>23</v>
      </c>
      <c r="J61">
        <v>0</v>
      </c>
      <c r="K61">
        <f t="shared" si="1"/>
        <v>0</v>
      </c>
    </row>
    <row r="62" spans="1:11" x14ac:dyDescent="0.3">
      <c r="A62" t="s">
        <v>360</v>
      </c>
      <c r="B62" t="s">
        <v>325</v>
      </c>
      <c r="C62" t="s">
        <v>347</v>
      </c>
      <c r="D62" t="s">
        <v>21</v>
      </c>
      <c r="E62" s="1">
        <v>45656</v>
      </c>
      <c r="F62" s="1">
        <v>46112</v>
      </c>
      <c r="G62" t="s">
        <v>361</v>
      </c>
      <c r="H62" t="s">
        <v>23</v>
      </c>
      <c r="J62">
        <v>0</v>
      </c>
      <c r="K62">
        <f t="shared" si="1"/>
        <v>0</v>
      </c>
    </row>
    <row r="63" spans="1:11" x14ac:dyDescent="0.3">
      <c r="A63" t="s">
        <v>362</v>
      </c>
      <c r="B63" t="s">
        <v>325</v>
      </c>
      <c r="C63" t="s">
        <v>347</v>
      </c>
      <c r="D63" t="s">
        <v>21</v>
      </c>
      <c r="E63" s="1">
        <v>45789</v>
      </c>
      <c r="F63" s="1">
        <v>45961</v>
      </c>
      <c r="G63" t="s">
        <v>363</v>
      </c>
      <c r="H63" t="s">
        <v>23</v>
      </c>
      <c r="J63">
        <v>0</v>
      </c>
      <c r="K63">
        <f t="shared" si="1"/>
        <v>0</v>
      </c>
    </row>
    <row r="64" spans="1:11" x14ac:dyDescent="0.3">
      <c r="A64" t="s">
        <v>364</v>
      </c>
      <c r="B64" t="s">
        <v>76</v>
      </c>
      <c r="C64" t="s">
        <v>365</v>
      </c>
      <c r="D64" t="s">
        <v>78</v>
      </c>
      <c r="E64" s="1">
        <v>45838</v>
      </c>
      <c r="F64" s="1">
        <v>46173</v>
      </c>
      <c r="G64" t="s">
        <v>366</v>
      </c>
      <c r="H64" t="s">
        <v>23</v>
      </c>
      <c r="J64">
        <v>7</v>
      </c>
      <c r="K64">
        <f t="shared" si="1"/>
        <v>6.3607451158564287E-3</v>
      </c>
    </row>
    <row r="65" spans="1:11" x14ac:dyDescent="0.3">
      <c r="A65" t="s">
        <v>367</v>
      </c>
      <c r="B65" t="s">
        <v>147</v>
      </c>
      <c r="C65" t="s">
        <v>368</v>
      </c>
      <c r="D65" t="s">
        <v>149</v>
      </c>
      <c r="E65" s="1">
        <v>45852</v>
      </c>
      <c r="F65" s="1">
        <v>46065</v>
      </c>
      <c r="G65" t="s">
        <v>369</v>
      </c>
      <c r="H65" t="s">
        <v>23</v>
      </c>
      <c r="J65">
        <v>1</v>
      </c>
      <c r="K65">
        <f t="shared" si="1"/>
        <v>9.0867787369377552E-4</v>
      </c>
    </row>
    <row r="66" spans="1:11" x14ac:dyDescent="0.3">
      <c r="A66" t="s">
        <v>402</v>
      </c>
      <c r="B66" t="s">
        <v>403</v>
      </c>
      <c r="C66" t="s">
        <v>403</v>
      </c>
      <c r="D66" t="s">
        <v>153</v>
      </c>
      <c r="E66" s="1">
        <v>45852</v>
      </c>
      <c r="F66" s="1">
        <v>45919</v>
      </c>
      <c r="G66" t="s">
        <v>404</v>
      </c>
      <c r="H66" t="s">
        <v>23</v>
      </c>
      <c r="J66">
        <v>40</v>
      </c>
      <c r="K66">
        <f t="shared" si="1"/>
        <v>3.6347114947751023E-2</v>
      </c>
    </row>
    <row r="67" spans="1:11" x14ac:dyDescent="0.3">
      <c r="A67" t="s">
        <v>405</v>
      </c>
      <c r="B67" t="s">
        <v>85</v>
      </c>
      <c r="C67" t="s">
        <v>406</v>
      </c>
      <c r="D67" t="s">
        <v>228</v>
      </c>
      <c r="E67" s="1">
        <v>45565</v>
      </c>
      <c r="F67" s="1">
        <v>46031</v>
      </c>
      <c r="G67" t="s">
        <v>407</v>
      </c>
      <c r="H67" t="s">
        <v>23</v>
      </c>
      <c r="J67">
        <v>0</v>
      </c>
      <c r="K67">
        <f t="shared" si="1"/>
        <v>0</v>
      </c>
    </row>
    <row r="68" spans="1:11" x14ac:dyDescent="0.3">
      <c r="A68" t="s">
        <v>408</v>
      </c>
      <c r="B68" t="s">
        <v>403</v>
      </c>
      <c r="C68" t="s">
        <v>409</v>
      </c>
      <c r="D68" t="s">
        <v>153</v>
      </c>
      <c r="E68" s="1">
        <v>45565</v>
      </c>
      <c r="F68" s="1">
        <v>46066</v>
      </c>
      <c r="G68" t="s">
        <v>410</v>
      </c>
      <c r="H68" t="s">
        <v>23</v>
      </c>
      <c r="J68">
        <v>0</v>
      </c>
      <c r="K68">
        <f t="shared" si="1"/>
        <v>0</v>
      </c>
    </row>
    <row r="69" spans="1:11" x14ac:dyDescent="0.3">
      <c r="A69" t="s">
        <v>411</v>
      </c>
      <c r="B69" t="s">
        <v>241</v>
      </c>
      <c r="C69" t="s">
        <v>412</v>
      </c>
      <c r="D69" t="s">
        <v>149</v>
      </c>
      <c r="E69" s="1">
        <v>45474</v>
      </c>
      <c r="F69" s="1">
        <v>45917</v>
      </c>
      <c r="G69" t="s">
        <v>413</v>
      </c>
      <c r="H69" t="s">
        <v>23</v>
      </c>
      <c r="J69">
        <v>0</v>
      </c>
      <c r="K69">
        <f t="shared" si="1"/>
        <v>0</v>
      </c>
    </row>
    <row r="70" spans="1:11" x14ac:dyDescent="0.3">
      <c r="A70" t="s">
        <v>423</v>
      </c>
      <c r="B70" t="s">
        <v>152</v>
      </c>
      <c r="C70" t="s">
        <v>424</v>
      </c>
      <c r="D70" t="s">
        <v>419</v>
      </c>
      <c r="E70" s="1">
        <v>45201</v>
      </c>
      <c r="F70" s="1">
        <v>46022</v>
      </c>
      <c r="G70" t="s">
        <v>425</v>
      </c>
      <c r="H70" t="s">
        <v>23</v>
      </c>
      <c r="J70">
        <v>4</v>
      </c>
      <c r="K70">
        <f t="shared" si="1"/>
        <v>3.6347114947751021E-3</v>
      </c>
    </row>
    <row r="71" spans="1:11" x14ac:dyDescent="0.3">
      <c r="A71" t="s">
        <v>426</v>
      </c>
      <c r="B71" t="s">
        <v>427</v>
      </c>
      <c r="C71" t="s">
        <v>427</v>
      </c>
      <c r="D71" t="s">
        <v>153</v>
      </c>
      <c r="E71" s="1">
        <v>45866</v>
      </c>
      <c r="F71" s="1">
        <v>45902</v>
      </c>
      <c r="G71" t="s">
        <v>428</v>
      </c>
      <c r="H71" t="s">
        <v>23</v>
      </c>
      <c r="J71">
        <v>16</v>
      </c>
      <c r="K71">
        <f t="shared" ref="K71:K102" si="2">J71/$J$115</f>
        <v>1.4538845979100408E-2</v>
      </c>
    </row>
    <row r="72" spans="1:11" x14ac:dyDescent="0.3">
      <c r="A72" t="s">
        <v>429</v>
      </c>
      <c r="B72" t="s">
        <v>205</v>
      </c>
      <c r="C72" t="s">
        <v>430</v>
      </c>
      <c r="D72" t="s">
        <v>153</v>
      </c>
      <c r="E72" s="1">
        <v>45566</v>
      </c>
      <c r="F72" s="1">
        <v>45870</v>
      </c>
      <c r="G72" t="s">
        <v>431</v>
      </c>
      <c r="H72" t="s">
        <v>23</v>
      </c>
      <c r="J72">
        <v>8</v>
      </c>
      <c r="K72">
        <f t="shared" si="2"/>
        <v>7.2694229895502041E-3</v>
      </c>
    </row>
    <row r="73" spans="1:11" x14ac:dyDescent="0.3">
      <c r="A73" t="s">
        <v>432</v>
      </c>
      <c r="B73" t="s">
        <v>427</v>
      </c>
      <c r="C73" t="s">
        <v>433</v>
      </c>
      <c r="D73" t="s">
        <v>153</v>
      </c>
      <c r="E73" s="1">
        <v>45712</v>
      </c>
      <c r="F73" s="1">
        <v>46022</v>
      </c>
      <c r="G73" t="s">
        <v>434</v>
      </c>
      <c r="H73" t="s">
        <v>23</v>
      </c>
      <c r="J73">
        <v>8</v>
      </c>
      <c r="K73">
        <f t="shared" si="2"/>
        <v>7.2694229895502041E-3</v>
      </c>
    </row>
    <row r="74" spans="1:11" x14ac:dyDescent="0.3">
      <c r="A74" t="s">
        <v>435</v>
      </c>
      <c r="B74" t="s">
        <v>427</v>
      </c>
      <c r="C74" t="s">
        <v>436</v>
      </c>
      <c r="D74" t="s">
        <v>437</v>
      </c>
      <c r="E74" s="1">
        <v>45760</v>
      </c>
      <c r="F74" s="1">
        <v>46081</v>
      </c>
      <c r="G74" t="s">
        <v>438</v>
      </c>
      <c r="H74" t="s">
        <v>23</v>
      </c>
      <c r="J74">
        <v>8</v>
      </c>
      <c r="K74">
        <f t="shared" si="2"/>
        <v>7.2694229895502041E-3</v>
      </c>
    </row>
    <row r="75" spans="1:11" x14ac:dyDescent="0.3">
      <c r="A75" t="s">
        <v>439</v>
      </c>
      <c r="B75" t="s">
        <v>440</v>
      </c>
      <c r="C75" t="s">
        <v>441</v>
      </c>
      <c r="D75" t="s">
        <v>64</v>
      </c>
      <c r="E75" s="1">
        <v>45866</v>
      </c>
      <c r="F75" s="1">
        <v>45924</v>
      </c>
      <c r="G75" t="s">
        <v>442</v>
      </c>
      <c r="H75" t="s">
        <v>23</v>
      </c>
      <c r="J75">
        <v>10</v>
      </c>
      <c r="K75">
        <f t="shared" si="2"/>
        <v>9.0867787369377558E-3</v>
      </c>
    </row>
    <row r="76" spans="1:11" x14ac:dyDescent="0.3">
      <c r="A76" t="s">
        <v>443</v>
      </c>
      <c r="B76" t="s">
        <v>198</v>
      </c>
      <c r="C76" t="s">
        <v>444</v>
      </c>
      <c r="D76" t="s">
        <v>393</v>
      </c>
      <c r="E76" s="1">
        <v>45845</v>
      </c>
      <c r="F76" s="1">
        <v>46242</v>
      </c>
      <c r="G76" t="s">
        <v>445</v>
      </c>
      <c r="H76" t="s">
        <v>23</v>
      </c>
      <c r="J76">
        <v>11</v>
      </c>
      <c r="K76">
        <f t="shared" si="2"/>
        <v>9.9954566106315312E-3</v>
      </c>
    </row>
    <row r="77" spans="1:11" x14ac:dyDescent="0.3">
      <c r="A77" t="s">
        <v>450</v>
      </c>
      <c r="B77" t="s">
        <v>44</v>
      </c>
      <c r="C77" t="s">
        <v>44</v>
      </c>
      <c r="D77" t="s">
        <v>199</v>
      </c>
      <c r="E77" s="1">
        <v>45831</v>
      </c>
      <c r="F77" s="1">
        <v>46027</v>
      </c>
      <c r="G77" t="s">
        <v>451</v>
      </c>
      <c r="H77" t="s">
        <v>23</v>
      </c>
      <c r="J77">
        <v>2.5</v>
      </c>
      <c r="K77">
        <f t="shared" si="2"/>
        <v>2.271694684234439E-3</v>
      </c>
    </row>
    <row r="78" spans="1:11" x14ac:dyDescent="0.3">
      <c r="A78" t="s">
        <v>452</v>
      </c>
      <c r="B78" t="s">
        <v>198</v>
      </c>
      <c r="C78" t="s">
        <v>198</v>
      </c>
      <c r="D78" t="s">
        <v>453</v>
      </c>
      <c r="E78" s="1">
        <v>45705</v>
      </c>
      <c r="F78" s="1">
        <v>46387</v>
      </c>
      <c r="G78" t="s">
        <v>454</v>
      </c>
      <c r="H78" t="s">
        <v>23</v>
      </c>
      <c r="J78">
        <v>8</v>
      </c>
      <c r="K78">
        <f t="shared" si="2"/>
        <v>7.2694229895502041E-3</v>
      </c>
    </row>
    <row r="79" spans="1:11" x14ac:dyDescent="0.3">
      <c r="A79" t="s">
        <v>455</v>
      </c>
      <c r="B79" t="s">
        <v>198</v>
      </c>
      <c r="C79" t="s">
        <v>198</v>
      </c>
      <c r="D79" t="s">
        <v>453</v>
      </c>
      <c r="E79" s="1">
        <v>45649</v>
      </c>
      <c r="F79" s="1">
        <v>45906</v>
      </c>
      <c r="G79" t="s">
        <v>456</v>
      </c>
      <c r="H79" t="s">
        <v>23</v>
      </c>
      <c r="J79">
        <v>2</v>
      </c>
      <c r="K79">
        <f t="shared" si="2"/>
        <v>1.817355747387551E-3</v>
      </c>
    </row>
    <row r="80" spans="1:11" x14ac:dyDescent="0.3">
      <c r="A80" t="s">
        <v>481</v>
      </c>
      <c r="B80" t="s">
        <v>44</v>
      </c>
      <c r="C80" t="s">
        <v>44</v>
      </c>
      <c r="D80" t="s">
        <v>46</v>
      </c>
      <c r="E80" s="1">
        <v>45839</v>
      </c>
      <c r="F80" s="1">
        <v>46203</v>
      </c>
      <c r="G80" t="s">
        <v>482</v>
      </c>
      <c r="H80" t="s">
        <v>23</v>
      </c>
      <c r="J80">
        <v>6</v>
      </c>
      <c r="K80">
        <f t="shared" si="2"/>
        <v>5.4520672421626533E-3</v>
      </c>
    </row>
    <row r="81" spans="1:11" x14ac:dyDescent="0.3">
      <c r="A81" t="s">
        <v>483</v>
      </c>
      <c r="B81" t="s">
        <v>440</v>
      </c>
      <c r="C81" t="s">
        <v>484</v>
      </c>
      <c r="D81" t="s">
        <v>190</v>
      </c>
      <c r="E81" s="1">
        <v>45754</v>
      </c>
      <c r="F81" s="1">
        <v>46008</v>
      </c>
      <c r="G81" t="s">
        <v>485</v>
      </c>
      <c r="H81" t="s">
        <v>23</v>
      </c>
      <c r="J81">
        <v>33</v>
      </c>
      <c r="K81">
        <f t="shared" si="2"/>
        <v>2.9986369831894594E-2</v>
      </c>
    </row>
    <row r="82" spans="1:11" x14ac:dyDescent="0.3">
      <c r="A82" t="s">
        <v>491</v>
      </c>
      <c r="B82" t="s">
        <v>355</v>
      </c>
      <c r="C82" t="s">
        <v>492</v>
      </c>
      <c r="D82" t="s">
        <v>393</v>
      </c>
      <c r="E82" s="1">
        <v>45663</v>
      </c>
      <c r="F82" s="1">
        <v>45863</v>
      </c>
      <c r="G82" t="s">
        <v>493</v>
      </c>
      <c r="H82" t="s">
        <v>23</v>
      </c>
      <c r="J82">
        <v>0</v>
      </c>
      <c r="K82">
        <f t="shared" si="2"/>
        <v>0</v>
      </c>
    </row>
    <row r="83" spans="1:11" x14ac:dyDescent="0.3">
      <c r="A83" t="s">
        <v>498</v>
      </c>
      <c r="B83" t="s">
        <v>499</v>
      </c>
      <c r="C83" t="s">
        <v>500</v>
      </c>
      <c r="D83" t="s">
        <v>437</v>
      </c>
      <c r="E83" s="1">
        <v>45285</v>
      </c>
      <c r="F83" s="1">
        <v>45986</v>
      </c>
      <c r="G83" t="s">
        <v>501</v>
      </c>
      <c r="H83" t="s">
        <v>23</v>
      </c>
      <c r="J83">
        <v>12</v>
      </c>
      <c r="K83">
        <f t="shared" si="2"/>
        <v>1.0904134484325307E-2</v>
      </c>
    </row>
    <row r="84" spans="1:11" x14ac:dyDescent="0.3">
      <c r="A84" t="s">
        <v>504</v>
      </c>
      <c r="B84" t="s">
        <v>403</v>
      </c>
      <c r="C84" t="s">
        <v>409</v>
      </c>
      <c r="D84" t="s">
        <v>153</v>
      </c>
      <c r="E84" s="1">
        <v>45726</v>
      </c>
      <c r="F84" s="1">
        <v>46022</v>
      </c>
      <c r="G84" t="s">
        <v>505</v>
      </c>
      <c r="H84" t="s">
        <v>23</v>
      </c>
      <c r="J84">
        <v>0</v>
      </c>
      <c r="K84">
        <f t="shared" si="2"/>
        <v>0</v>
      </c>
    </row>
    <row r="85" spans="1:11" x14ac:dyDescent="0.3">
      <c r="A85" t="s">
        <v>506</v>
      </c>
      <c r="B85" t="s">
        <v>403</v>
      </c>
      <c r="C85" t="s">
        <v>507</v>
      </c>
      <c r="D85" t="s">
        <v>153</v>
      </c>
      <c r="E85" s="1">
        <v>45432</v>
      </c>
      <c r="F85" s="1">
        <v>45868</v>
      </c>
      <c r="G85" t="s">
        <v>508</v>
      </c>
      <c r="H85" t="s">
        <v>23</v>
      </c>
      <c r="J85">
        <v>0</v>
      </c>
      <c r="K85">
        <f t="shared" si="2"/>
        <v>0</v>
      </c>
    </row>
    <row r="86" spans="1:11" x14ac:dyDescent="0.3">
      <c r="A86" t="s">
        <v>509</v>
      </c>
      <c r="B86" t="s">
        <v>114</v>
      </c>
      <c r="C86" t="s">
        <v>510</v>
      </c>
      <c r="D86" t="s">
        <v>21</v>
      </c>
      <c r="E86" s="1">
        <v>45838</v>
      </c>
      <c r="F86" s="1">
        <v>45894</v>
      </c>
      <c r="G86" t="s">
        <v>511</v>
      </c>
      <c r="H86" t="s">
        <v>23</v>
      </c>
      <c r="J86">
        <v>0</v>
      </c>
      <c r="K86">
        <f t="shared" si="2"/>
        <v>0</v>
      </c>
    </row>
    <row r="87" spans="1:11" x14ac:dyDescent="0.3">
      <c r="A87" t="s">
        <v>512</v>
      </c>
      <c r="B87" t="s">
        <v>44</v>
      </c>
      <c r="C87" t="s">
        <v>189</v>
      </c>
      <c r="D87" t="s">
        <v>64</v>
      </c>
      <c r="E87" s="1">
        <v>45712</v>
      </c>
      <c r="F87" s="1">
        <v>45938</v>
      </c>
      <c r="G87" t="s">
        <v>513</v>
      </c>
      <c r="H87" t="s">
        <v>23</v>
      </c>
      <c r="J87">
        <v>3</v>
      </c>
      <c r="K87">
        <f t="shared" si="2"/>
        <v>2.7260336210813267E-3</v>
      </c>
    </row>
    <row r="88" spans="1:11" x14ac:dyDescent="0.3">
      <c r="A88" t="s">
        <v>516</v>
      </c>
      <c r="B88" t="s">
        <v>44</v>
      </c>
      <c r="C88" t="s">
        <v>44</v>
      </c>
      <c r="D88" t="s">
        <v>190</v>
      </c>
      <c r="E88" s="1">
        <v>45658</v>
      </c>
      <c r="F88" s="1">
        <v>45930</v>
      </c>
      <c r="G88" t="s">
        <v>517</v>
      </c>
      <c r="H88" t="s">
        <v>23</v>
      </c>
      <c r="J88">
        <v>0</v>
      </c>
      <c r="K88">
        <f t="shared" si="2"/>
        <v>0</v>
      </c>
    </row>
    <row r="89" spans="1:11" x14ac:dyDescent="0.3">
      <c r="A89" t="s">
        <v>531</v>
      </c>
      <c r="B89" t="s">
        <v>532</v>
      </c>
      <c r="C89" t="s">
        <v>533</v>
      </c>
      <c r="D89" t="s">
        <v>437</v>
      </c>
      <c r="E89" s="1">
        <v>45754</v>
      </c>
      <c r="F89" s="1">
        <v>46387</v>
      </c>
      <c r="G89" t="s">
        <v>534</v>
      </c>
      <c r="H89" t="s">
        <v>23</v>
      </c>
      <c r="J89">
        <v>23</v>
      </c>
      <c r="K89">
        <f t="shared" si="2"/>
        <v>2.0899591094956836E-2</v>
      </c>
    </row>
    <row r="90" spans="1:11" x14ac:dyDescent="0.3">
      <c r="A90" t="s">
        <v>538</v>
      </c>
      <c r="B90" t="s">
        <v>205</v>
      </c>
      <c r="C90" t="s">
        <v>539</v>
      </c>
      <c r="D90" t="s">
        <v>437</v>
      </c>
      <c r="E90" s="1">
        <v>45166</v>
      </c>
      <c r="F90" s="1">
        <v>46022</v>
      </c>
      <c r="G90" t="s">
        <v>540</v>
      </c>
      <c r="H90" t="s">
        <v>23</v>
      </c>
      <c r="J90">
        <v>0</v>
      </c>
      <c r="K90">
        <f t="shared" si="2"/>
        <v>0</v>
      </c>
    </row>
    <row r="91" spans="1:11" x14ac:dyDescent="0.3">
      <c r="A91" t="s">
        <v>541</v>
      </c>
      <c r="B91" t="s">
        <v>107</v>
      </c>
      <c r="C91" t="s">
        <v>107</v>
      </c>
      <c r="D91" t="s">
        <v>437</v>
      </c>
      <c r="E91" s="1">
        <v>45698</v>
      </c>
      <c r="F91" s="1">
        <v>46387</v>
      </c>
      <c r="G91" t="s">
        <v>542</v>
      </c>
      <c r="H91" t="s">
        <v>23</v>
      </c>
      <c r="J91">
        <v>1</v>
      </c>
      <c r="K91">
        <f t="shared" si="2"/>
        <v>9.0867787369377552E-4</v>
      </c>
    </row>
    <row r="92" spans="1:11" x14ac:dyDescent="0.3">
      <c r="A92" t="s">
        <v>543</v>
      </c>
      <c r="B92" t="s">
        <v>205</v>
      </c>
      <c r="C92" t="s">
        <v>544</v>
      </c>
      <c r="D92" t="s">
        <v>437</v>
      </c>
      <c r="E92" s="1">
        <v>45173</v>
      </c>
      <c r="F92" s="1">
        <v>46387</v>
      </c>
      <c r="G92" t="s">
        <v>545</v>
      </c>
      <c r="H92" t="s">
        <v>23</v>
      </c>
      <c r="J92">
        <v>6</v>
      </c>
      <c r="K92">
        <f t="shared" si="2"/>
        <v>5.4520672421626533E-3</v>
      </c>
    </row>
    <row r="93" spans="1:11" x14ac:dyDescent="0.3">
      <c r="A93" t="s">
        <v>546</v>
      </c>
      <c r="B93" t="s">
        <v>19</v>
      </c>
      <c r="C93" t="s">
        <v>41</v>
      </c>
      <c r="D93" t="s">
        <v>228</v>
      </c>
      <c r="E93" s="1">
        <v>45558</v>
      </c>
      <c r="F93" s="1">
        <v>46022</v>
      </c>
      <c r="G93" t="s">
        <v>547</v>
      </c>
      <c r="H93" t="s">
        <v>23</v>
      </c>
      <c r="J93">
        <v>0</v>
      </c>
      <c r="K93">
        <f t="shared" si="2"/>
        <v>0</v>
      </c>
    </row>
    <row r="94" spans="1:11" x14ac:dyDescent="0.3">
      <c r="A94" t="s">
        <v>554</v>
      </c>
      <c r="B94" t="s">
        <v>62</v>
      </c>
      <c r="C94" t="s">
        <v>62</v>
      </c>
      <c r="D94" t="s">
        <v>21</v>
      </c>
      <c r="E94" s="1">
        <v>45803</v>
      </c>
      <c r="F94" s="1">
        <v>46022</v>
      </c>
      <c r="G94" t="s">
        <v>555</v>
      </c>
      <c r="H94" t="s">
        <v>23</v>
      </c>
      <c r="J94">
        <v>0</v>
      </c>
      <c r="K94">
        <f t="shared" si="2"/>
        <v>0</v>
      </c>
    </row>
    <row r="95" spans="1:11" x14ac:dyDescent="0.3">
      <c r="A95" t="s">
        <v>556</v>
      </c>
      <c r="B95" t="s">
        <v>62</v>
      </c>
      <c r="C95" t="s">
        <v>63</v>
      </c>
      <c r="D95" t="s">
        <v>21</v>
      </c>
      <c r="E95" s="1">
        <v>45775</v>
      </c>
      <c r="F95" s="1">
        <v>45860</v>
      </c>
      <c r="G95" t="s">
        <v>557</v>
      </c>
      <c r="H95" t="s">
        <v>23</v>
      </c>
      <c r="J95">
        <v>0</v>
      </c>
      <c r="K95">
        <f t="shared" si="2"/>
        <v>0</v>
      </c>
    </row>
    <row r="96" spans="1:11" x14ac:dyDescent="0.3">
      <c r="A96" t="s">
        <v>558</v>
      </c>
      <c r="B96" t="s">
        <v>532</v>
      </c>
      <c r="C96" t="s">
        <v>559</v>
      </c>
      <c r="D96" t="s">
        <v>153</v>
      </c>
      <c r="E96" s="1">
        <v>45845</v>
      </c>
      <c r="F96" s="1">
        <v>46037</v>
      </c>
      <c r="G96" t="s">
        <v>560</v>
      </c>
      <c r="H96" t="s">
        <v>23</v>
      </c>
      <c r="J96">
        <v>59</v>
      </c>
      <c r="K96">
        <f t="shared" si="2"/>
        <v>5.3611994547932758E-2</v>
      </c>
    </row>
    <row r="97" spans="1:11" x14ac:dyDescent="0.3">
      <c r="A97" t="s">
        <v>561</v>
      </c>
      <c r="B97" t="s">
        <v>532</v>
      </c>
      <c r="C97" t="s">
        <v>532</v>
      </c>
      <c r="D97" t="s">
        <v>153</v>
      </c>
      <c r="E97" s="1">
        <v>45845</v>
      </c>
      <c r="F97" s="1">
        <v>46079</v>
      </c>
      <c r="G97" t="s">
        <v>562</v>
      </c>
      <c r="H97" t="s">
        <v>23</v>
      </c>
      <c r="J97">
        <v>0</v>
      </c>
      <c r="K97">
        <f t="shared" si="2"/>
        <v>0</v>
      </c>
    </row>
    <row r="98" spans="1:11" x14ac:dyDescent="0.3">
      <c r="A98" t="s">
        <v>563</v>
      </c>
      <c r="B98" t="s">
        <v>62</v>
      </c>
      <c r="C98" t="s">
        <v>564</v>
      </c>
      <c r="D98" t="s">
        <v>21</v>
      </c>
      <c r="E98" s="1">
        <v>45845</v>
      </c>
      <c r="F98" s="1">
        <v>46203</v>
      </c>
      <c r="G98" t="s">
        <v>565</v>
      </c>
      <c r="H98" t="s">
        <v>23</v>
      </c>
      <c r="J98">
        <v>20</v>
      </c>
      <c r="K98">
        <f t="shared" si="2"/>
        <v>1.8173557473875512E-2</v>
      </c>
    </row>
    <row r="99" spans="1:11" x14ac:dyDescent="0.3">
      <c r="A99" t="s">
        <v>576</v>
      </c>
      <c r="B99" t="s">
        <v>440</v>
      </c>
      <c r="C99" t="s">
        <v>577</v>
      </c>
      <c r="D99" t="s">
        <v>64</v>
      </c>
      <c r="E99" s="1">
        <v>45718</v>
      </c>
      <c r="F99" s="1">
        <v>46012</v>
      </c>
      <c r="G99" t="s">
        <v>578</v>
      </c>
      <c r="H99" t="s">
        <v>23</v>
      </c>
      <c r="J99">
        <v>28</v>
      </c>
      <c r="K99">
        <f t="shared" si="2"/>
        <v>2.5442980463425715E-2</v>
      </c>
    </row>
    <row r="100" spans="1:11" x14ac:dyDescent="0.3">
      <c r="A100" t="s">
        <v>579</v>
      </c>
      <c r="B100" t="s">
        <v>440</v>
      </c>
      <c r="C100" t="s">
        <v>580</v>
      </c>
      <c r="D100" t="s">
        <v>64</v>
      </c>
      <c r="E100" s="1">
        <v>45166</v>
      </c>
      <c r="F100" s="1">
        <v>45945</v>
      </c>
      <c r="G100" t="s">
        <v>581</v>
      </c>
      <c r="H100" t="s">
        <v>23</v>
      </c>
      <c r="J100">
        <v>0</v>
      </c>
      <c r="K100">
        <f t="shared" si="2"/>
        <v>0</v>
      </c>
    </row>
    <row r="101" spans="1:11" x14ac:dyDescent="0.3">
      <c r="A101" t="s">
        <v>582</v>
      </c>
      <c r="B101" t="s">
        <v>107</v>
      </c>
      <c r="C101" t="s">
        <v>107</v>
      </c>
      <c r="D101" t="s">
        <v>64</v>
      </c>
      <c r="E101" s="1">
        <v>45712</v>
      </c>
      <c r="F101" s="1">
        <v>46387</v>
      </c>
      <c r="G101" t="s">
        <v>583</v>
      </c>
      <c r="H101" t="s">
        <v>23</v>
      </c>
      <c r="J101">
        <v>1</v>
      </c>
      <c r="K101">
        <f t="shared" si="2"/>
        <v>9.0867787369377552E-4</v>
      </c>
    </row>
    <row r="102" spans="1:11" x14ac:dyDescent="0.3">
      <c r="A102" t="s">
        <v>584</v>
      </c>
      <c r="B102" t="s">
        <v>440</v>
      </c>
      <c r="C102" t="s">
        <v>585</v>
      </c>
      <c r="D102" t="s">
        <v>64</v>
      </c>
      <c r="E102" s="1">
        <v>45824</v>
      </c>
      <c r="F102" s="1">
        <v>45919</v>
      </c>
      <c r="G102" t="s">
        <v>586</v>
      </c>
      <c r="H102" t="s">
        <v>23</v>
      </c>
      <c r="J102">
        <v>3</v>
      </c>
      <c r="K102">
        <f t="shared" si="2"/>
        <v>2.7260336210813267E-3</v>
      </c>
    </row>
    <row r="103" spans="1:11" x14ac:dyDescent="0.3">
      <c r="A103" t="s">
        <v>589</v>
      </c>
      <c r="B103" t="s">
        <v>44</v>
      </c>
      <c r="C103" t="s">
        <v>189</v>
      </c>
      <c r="D103" t="s">
        <v>64</v>
      </c>
      <c r="E103" s="1">
        <v>45489</v>
      </c>
      <c r="F103" s="1">
        <v>45916</v>
      </c>
      <c r="G103" t="s">
        <v>590</v>
      </c>
      <c r="H103" t="s">
        <v>23</v>
      </c>
      <c r="J103">
        <v>13</v>
      </c>
      <c r="K103">
        <f t="shared" ref="K103:K114" si="3">J103/$J$115</f>
        <v>1.1812812358019082E-2</v>
      </c>
    </row>
    <row r="104" spans="1:11" x14ac:dyDescent="0.3">
      <c r="A104" t="s">
        <v>595</v>
      </c>
      <c r="B104" t="s">
        <v>107</v>
      </c>
      <c r="C104" t="s">
        <v>596</v>
      </c>
      <c r="D104" t="s">
        <v>246</v>
      </c>
      <c r="E104" s="1">
        <v>45551</v>
      </c>
      <c r="F104" s="1">
        <v>46079</v>
      </c>
      <c r="G104" t="s">
        <v>597</v>
      </c>
      <c r="H104" t="s">
        <v>23</v>
      </c>
      <c r="J104">
        <v>37</v>
      </c>
      <c r="K104">
        <f t="shared" si="3"/>
        <v>3.3621081326669695E-2</v>
      </c>
    </row>
    <row r="105" spans="1:11" x14ac:dyDescent="0.3">
      <c r="A105" t="s">
        <v>598</v>
      </c>
      <c r="B105" t="s">
        <v>499</v>
      </c>
      <c r="C105" t="s">
        <v>599</v>
      </c>
      <c r="D105" t="s">
        <v>437</v>
      </c>
      <c r="E105" s="1">
        <v>45810</v>
      </c>
      <c r="F105" s="1">
        <v>46079</v>
      </c>
      <c r="G105" t="s">
        <v>600</v>
      </c>
      <c r="H105" t="s">
        <v>23</v>
      </c>
      <c r="J105">
        <v>1</v>
      </c>
      <c r="K105">
        <f t="shared" si="3"/>
        <v>9.0867787369377552E-4</v>
      </c>
    </row>
    <row r="106" spans="1:11" x14ac:dyDescent="0.3">
      <c r="A106" t="s">
        <v>601</v>
      </c>
      <c r="B106" t="s">
        <v>440</v>
      </c>
      <c r="C106" t="s">
        <v>602</v>
      </c>
      <c r="D106" t="s">
        <v>190</v>
      </c>
      <c r="E106" s="1">
        <v>45502</v>
      </c>
      <c r="F106" s="1">
        <v>46082</v>
      </c>
      <c r="G106" t="s">
        <v>603</v>
      </c>
      <c r="H106" t="s">
        <v>23</v>
      </c>
      <c r="J106">
        <v>12</v>
      </c>
      <c r="K106">
        <f t="shared" si="3"/>
        <v>1.0904134484325307E-2</v>
      </c>
    </row>
    <row r="107" spans="1:11" x14ac:dyDescent="0.3">
      <c r="A107" t="s">
        <v>604</v>
      </c>
      <c r="B107" t="s">
        <v>152</v>
      </c>
      <c r="C107" t="s">
        <v>605</v>
      </c>
      <c r="D107" t="s">
        <v>153</v>
      </c>
      <c r="E107" s="1">
        <v>45672</v>
      </c>
      <c r="F107" s="1">
        <v>46387</v>
      </c>
      <c r="G107" t="s">
        <v>606</v>
      </c>
      <c r="H107" t="s">
        <v>23</v>
      </c>
      <c r="J107">
        <v>9</v>
      </c>
      <c r="K107">
        <f t="shared" si="3"/>
        <v>8.1781008632439804E-3</v>
      </c>
    </row>
    <row r="108" spans="1:11" x14ac:dyDescent="0.3">
      <c r="A108" t="s">
        <v>607</v>
      </c>
      <c r="B108" t="s">
        <v>224</v>
      </c>
      <c r="C108" t="s">
        <v>608</v>
      </c>
      <c r="D108" t="s">
        <v>153</v>
      </c>
      <c r="E108" s="1">
        <v>45866</v>
      </c>
      <c r="F108" s="1">
        <v>46288</v>
      </c>
      <c r="G108" t="s">
        <v>609</v>
      </c>
      <c r="H108" t="s">
        <v>23</v>
      </c>
      <c r="J108">
        <v>53</v>
      </c>
      <c r="K108">
        <f t="shared" si="3"/>
        <v>4.8159927305770102E-2</v>
      </c>
    </row>
    <row r="109" spans="1:11" x14ac:dyDescent="0.3">
      <c r="A109" t="s">
        <v>612</v>
      </c>
      <c r="B109" t="s">
        <v>613</v>
      </c>
      <c r="C109" t="s">
        <v>614</v>
      </c>
      <c r="D109" t="s">
        <v>46</v>
      </c>
      <c r="E109" s="1">
        <v>45166</v>
      </c>
      <c r="F109" s="1">
        <v>46388</v>
      </c>
      <c r="G109" t="s">
        <v>615</v>
      </c>
      <c r="H109" t="s">
        <v>23</v>
      </c>
      <c r="J109">
        <v>15</v>
      </c>
      <c r="K109">
        <f t="shared" si="3"/>
        <v>1.3630168105406633E-2</v>
      </c>
    </row>
    <row r="110" spans="1:11" x14ac:dyDescent="0.3">
      <c r="A110" t="s">
        <v>616</v>
      </c>
      <c r="B110" t="s">
        <v>613</v>
      </c>
      <c r="C110" t="s">
        <v>614</v>
      </c>
      <c r="D110" t="s">
        <v>46</v>
      </c>
      <c r="E110" s="1">
        <v>45166</v>
      </c>
      <c r="F110" s="1">
        <v>46388</v>
      </c>
      <c r="G110" t="s">
        <v>617</v>
      </c>
      <c r="H110" t="s">
        <v>23</v>
      </c>
      <c r="J110">
        <v>36.5</v>
      </c>
      <c r="K110">
        <f t="shared" si="3"/>
        <v>3.3166742389822805E-2</v>
      </c>
    </row>
    <row r="111" spans="1:11" x14ac:dyDescent="0.3">
      <c r="A111" t="s">
        <v>618</v>
      </c>
      <c r="B111" t="s">
        <v>129</v>
      </c>
      <c r="C111" t="s">
        <v>619</v>
      </c>
      <c r="D111" t="s">
        <v>46</v>
      </c>
      <c r="E111" s="1">
        <v>45600</v>
      </c>
      <c r="F111" s="1">
        <v>46079</v>
      </c>
      <c r="G111" t="s">
        <v>620</v>
      </c>
      <c r="H111" t="s">
        <v>23</v>
      </c>
      <c r="J111">
        <v>40</v>
      </c>
      <c r="K111">
        <f t="shared" si="3"/>
        <v>3.6347114947751023E-2</v>
      </c>
    </row>
    <row r="112" spans="1:11" x14ac:dyDescent="0.3">
      <c r="A112" t="s">
        <v>621</v>
      </c>
      <c r="B112" t="s">
        <v>613</v>
      </c>
      <c r="C112" t="s">
        <v>614</v>
      </c>
      <c r="D112" t="s">
        <v>46</v>
      </c>
      <c r="E112" s="1">
        <v>45166</v>
      </c>
      <c r="F112" s="1">
        <v>46388</v>
      </c>
      <c r="G112" t="s">
        <v>622</v>
      </c>
      <c r="H112" t="s">
        <v>23</v>
      </c>
      <c r="J112">
        <v>146</v>
      </c>
      <c r="K112">
        <f t="shared" si="3"/>
        <v>0.13266696955929122</v>
      </c>
    </row>
    <row r="113" spans="1:11" x14ac:dyDescent="0.3">
      <c r="A113" t="s">
        <v>623</v>
      </c>
      <c r="B113" t="s">
        <v>62</v>
      </c>
      <c r="C113" t="s">
        <v>441</v>
      </c>
      <c r="D113" t="s">
        <v>64</v>
      </c>
      <c r="E113" s="1">
        <v>45810</v>
      </c>
      <c r="F113" s="1">
        <v>45900</v>
      </c>
      <c r="G113" t="s">
        <v>624</v>
      </c>
      <c r="H113" t="s">
        <v>23</v>
      </c>
      <c r="J113">
        <v>0</v>
      </c>
      <c r="K113">
        <f t="shared" si="3"/>
        <v>0</v>
      </c>
    </row>
    <row r="114" spans="1:11" x14ac:dyDescent="0.3">
      <c r="A114" t="s">
        <v>625</v>
      </c>
      <c r="J114">
        <v>0</v>
      </c>
      <c r="K114">
        <f t="shared" si="3"/>
        <v>0</v>
      </c>
    </row>
    <row r="115" spans="1:11" x14ac:dyDescent="0.3">
      <c r="A115" t="s">
        <v>626</v>
      </c>
      <c r="J115">
        <f>SUM(J7:J114)</f>
        <v>1100.5</v>
      </c>
      <c r="K115">
        <f>SUM(K7:K114)</f>
        <v>0.99999999999999989</v>
      </c>
    </row>
  </sheetData>
  <phoneticPr fontId="1"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46"/>
  <sheetViews>
    <sheetView workbookViewId="0"/>
  </sheetViews>
  <sheetFormatPr defaultRowHeight="14.5" x14ac:dyDescent="0.3"/>
  <sheetData>
    <row r="1" spans="1:11" x14ac:dyDescent="0.3">
      <c r="A1" t="s">
        <v>0</v>
      </c>
    </row>
    <row r="2" spans="1:11" x14ac:dyDescent="0.3">
      <c r="A2" t="s">
        <v>1</v>
      </c>
    </row>
    <row r="3" spans="1:11" x14ac:dyDescent="0.3">
      <c r="A3" t="s">
        <v>2</v>
      </c>
      <c r="B3" t="s">
        <v>631</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45" si="0">J7/$J$46</f>
        <v>0</v>
      </c>
    </row>
    <row r="8" spans="1:11" x14ac:dyDescent="0.3">
      <c r="A8" t="s">
        <v>53</v>
      </c>
      <c r="B8" t="s">
        <v>54</v>
      </c>
      <c r="C8" t="s">
        <v>55</v>
      </c>
      <c r="D8" t="s">
        <v>56</v>
      </c>
      <c r="E8" s="1">
        <v>45658</v>
      </c>
      <c r="F8" s="1">
        <v>46387</v>
      </c>
      <c r="G8" t="s">
        <v>57</v>
      </c>
      <c r="H8" t="s">
        <v>23</v>
      </c>
      <c r="J8">
        <v>79</v>
      </c>
      <c r="K8">
        <f t="shared" si="0"/>
        <v>0.15192307692307691</v>
      </c>
    </row>
    <row r="9" spans="1:11" x14ac:dyDescent="0.3">
      <c r="A9" t="s">
        <v>58</v>
      </c>
      <c r="B9" t="s">
        <v>54</v>
      </c>
      <c r="C9" t="s">
        <v>59</v>
      </c>
      <c r="D9" t="s">
        <v>56</v>
      </c>
      <c r="E9" s="1">
        <v>45658</v>
      </c>
      <c r="F9" s="1">
        <v>46089</v>
      </c>
      <c r="G9" t="s">
        <v>60</v>
      </c>
      <c r="H9" t="s">
        <v>23</v>
      </c>
      <c r="J9">
        <v>63</v>
      </c>
      <c r="K9">
        <f t="shared" si="0"/>
        <v>0.12115384615384615</v>
      </c>
    </row>
    <row r="10" spans="1:11" x14ac:dyDescent="0.3">
      <c r="A10" t="s">
        <v>94</v>
      </c>
      <c r="B10" t="s">
        <v>95</v>
      </c>
      <c r="C10" t="s">
        <v>96</v>
      </c>
      <c r="D10" t="s">
        <v>97</v>
      </c>
      <c r="E10" s="1">
        <v>45558</v>
      </c>
      <c r="F10" s="1">
        <v>46086</v>
      </c>
      <c r="G10" t="s">
        <v>98</v>
      </c>
      <c r="H10" t="s">
        <v>23</v>
      </c>
      <c r="J10">
        <v>26</v>
      </c>
      <c r="K10">
        <f t="shared" si="0"/>
        <v>0.05</v>
      </c>
    </row>
    <row r="11" spans="1:11" x14ac:dyDescent="0.3">
      <c r="A11" t="s">
        <v>99</v>
      </c>
      <c r="B11" t="s">
        <v>95</v>
      </c>
      <c r="C11" t="s">
        <v>100</v>
      </c>
      <c r="D11" t="s">
        <v>101</v>
      </c>
      <c r="E11" s="1">
        <v>45565</v>
      </c>
      <c r="F11" s="1">
        <v>46084</v>
      </c>
      <c r="G11" t="s">
        <v>102</v>
      </c>
      <c r="H11" t="s">
        <v>23</v>
      </c>
      <c r="J11">
        <v>7</v>
      </c>
      <c r="K11">
        <f t="shared" si="0"/>
        <v>1.3461538461538462E-2</v>
      </c>
    </row>
    <row r="12" spans="1:11" x14ac:dyDescent="0.3">
      <c r="A12" t="s">
        <v>113</v>
      </c>
      <c r="B12" t="s">
        <v>114</v>
      </c>
      <c r="C12" t="s">
        <v>115</v>
      </c>
      <c r="D12" t="s">
        <v>21</v>
      </c>
      <c r="E12" s="1">
        <v>45845</v>
      </c>
      <c r="F12" s="1">
        <v>46077</v>
      </c>
      <c r="G12" t="s">
        <v>116</v>
      </c>
      <c r="H12" t="s">
        <v>23</v>
      </c>
      <c r="J12">
        <v>0</v>
      </c>
      <c r="K12">
        <f t="shared" si="0"/>
        <v>0</v>
      </c>
    </row>
    <row r="13" spans="1:11" x14ac:dyDescent="0.3">
      <c r="A13" t="s">
        <v>123</v>
      </c>
      <c r="B13" t="s">
        <v>124</v>
      </c>
      <c r="C13" t="s">
        <v>125</v>
      </c>
      <c r="D13" t="s">
        <v>126</v>
      </c>
      <c r="E13" s="1">
        <v>45166</v>
      </c>
      <c r="F13" s="1">
        <v>46078</v>
      </c>
      <c r="G13" t="s">
        <v>127</v>
      </c>
      <c r="H13" t="s">
        <v>23</v>
      </c>
      <c r="J13">
        <v>8</v>
      </c>
      <c r="K13">
        <f t="shared" si="0"/>
        <v>1.5384615384615385E-2</v>
      </c>
    </row>
    <row r="14" spans="1:11" x14ac:dyDescent="0.3">
      <c r="A14" t="s">
        <v>128</v>
      </c>
      <c r="B14" t="s">
        <v>129</v>
      </c>
      <c r="C14" t="s">
        <v>130</v>
      </c>
      <c r="D14" t="s">
        <v>126</v>
      </c>
      <c r="E14" s="1">
        <v>44732</v>
      </c>
      <c r="F14" s="1">
        <v>45869</v>
      </c>
      <c r="G14" t="s">
        <v>131</v>
      </c>
      <c r="H14" t="s">
        <v>23</v>
      </c>
      <c r="J14">
        <v>1.5</v>
      </c>
      <c r="K14">
        <f t="shared" si="0"/>
        <v>2.8846153846153848E-3</v>
      </c>
    </row>
    <row r="15" spans="1:11" x14ac:dyDescent="0.3">
      <c r="A15" t="s">
        <v>132</v>
      </c>
      <c r="B15" t="s">
        <v>133</v>
      </c>
      <c r="C15" t="s">
        <v>134</v>
      </c>
      <c r="D15" t="s">
        <v>126</v>
      </c>
      <c r="E15" s="1">
        <v>45334</v>
      </c>
      <c r="F15" s="1">
        <v>46022</v>
      </c>
      <c r="G15" t="s">
        <v>135</v>
      </c>
      <c r="H15" t="s">
        <v>23</v>
      </c>
      <c r="J15">
        <v>0</v>
      </c>
      <c r="K15">
        <f t="shared" si="0"/>
        <v>0</v>
      </c>
    </row>
    <row r="16" spans="1:11" x14ac:dyDescent="0.3">
      <c r="A16" t="s">
        <v>136</v>
      </c>
      <c r="B16" t="s">
        <v>137</v>
      </c>
      <c r="C16" t="s">
        <v>138</v>
      </c>
      <c r="D16" t="s">
        <v>126</v>
      </c>
      <c r="E16" s="1">
        <v>45768</v>
      </c>
      <c r="F16" s="1">
        <v>46022</v>
      </c>
      <c r="G16" t="s">
        <v>139</v>
      </c>
      <c r="H16" t="s">
        <v>23</v>
      </c>
      <c r="J16">
        <v>0</v>
      </c>
      <c r="K16">
        <f t="shared" si="0"/>
        <v>0</v>
      </c>
    </row>
    <row r="17" spans="1:11" x14ac:dyDescent="0.3">
      <c r="A17" t="s">
        <v>155</v>
      </c>
      <c r="B17" t="s">
        <v>124</v>
      </c>
      <c r="C17" t="s">
        <v>156</v>
      </c>
      <c r="D17" t="s">
        <v>46</v>
      </c>
      <c r="E17" s="1">
        <v>45159</v>
      </c>
      <c r="F17" s="1">
        <v>46387</v>
      </c>
      <c r="G17" t="s">
        <v>157</v>
      </c>
      <c r="H17" t="s">
        <v>23</v>
      </c>
      <c r="J17">
        <v>8.5</v>
      </c>
      <c r="K17">
        <f t="shared" si="0"/>
        <v>1.6346153846153847E-2</v>
      </c>
    </row>
    <row r="18" spans="1:11" x14ac:dyDescent="0.3">
      <c r="A18" t="s">
        <v>194</v>
      </c>
      <c r="B18" t="s">
        <v>137</v>
      </c>
      <c r="C18" t="s">
        <v>195</v>
      </c>
      <c r="D18" t="s">
        <v>56</v>
      </c>
      <c r="E18" s="1">
        <v>45138</v>
      </c>
      <c r="F18" s="1">
        <v>46089</v>
      </c>
      <c r="G18" t="s">
        <v>196</v>
      </c>
      <c r="H18" t="s">
        <v>23</v>
      </c>
      <c r="J18">
        <v>8</v>
      </c>
      <c r="K18">
        <f t="shared" si="0"/>
        <v>1.5384615384615385E-2</v>
      </c>
    </row>
    <row r="19" spans="1:11" x14ac:dyDescent="0.3">
      <c r="A19" t="s">
        <v>232</v>
      </c>
      <c r="B19" t="s">
        <v>137</v>
      </c>
      <c r="C19" t="s">
        <v>233</v>
      </c>
      <c r="D19" t="s">
        <v>153</v>
      </c>
      <c r="E19" s="1">
        <v>45323</v>
      </c>
      <c r="F19" s="1">
        <v>46022</v>
      </c>
      <c r="G19" t="s">
        <v>234</v>
      </c>
      <c r="H19" t="s">
        <v>23</v>
      </c>
      <c r="J19">
        <v>0</v>
      </c>
      <c r="K19">
        <f t="shared" si="0"/>
        <v>0</v>
      </c>
    </row>
    <row r="20" spans="1:11" x14ac:dyDescent="0.3">
      <c r="A20" t="s">
        <v>244</v>
      </c>
      <c r="B20" t="s">
        <v>137</v>
      </c>
      <c r="C20" t="s">
        <v>245</v>
      </c>
      <c r="D20" t="s">
        <v>246</v>
      </c>
      <c r="E20" s="1">
        <v>45166</v>
      </c>
      <c r="F20" s="1">
        <v>46087</v>
      </c>
      <c r="G20" t="s">
        <v>247</v>
      </c>
      <c r="H20" t="s">
        <v>23</v>
      </c>
      <c r="J20">
        <v>10</v>
      </c>
      <c r="K20">
        <f t="shared" si="0"/>
        <v>1.9230769230769232E-2</v>
      </c>
    </row>
    <row r="21" spans="1:11" x14ac:dyDescent="0.3">
      <c r="A21" t="s">
        <v>248</v>
      </c>
      <c r="B21" t="s">
        <v>95</v>
      </c>
      <c r="C21" t="s">
        <v>249</v>
      </c>
      <c r="D21" t="s">
        <v>221</v>
      </c>
      <c r="E21" s="1">
        <v>45166</v>
      </c>
      <c r="F21" s="1">
        <v>46084</v>
      </c>
      <c r="G21" t="s">
        <v>250</v>
      </c>
      <c r="H21" t="s">
        <v>23</v>
      </c>
      <c r="J21">
        <v>10</v>
      </c>
      <c r="K21">
        <f t="shared" si="0"/>
        <v>1.9230769230769232E-2</v>
      </c>
    </row>
    <row r="22" spans="1:11" x14ac:dyDescent="0.3">
      <c r="A22" t="s">
        <v>251</v>
      </c>
      <c r="B22" t="s">
        <v>252</v>
      </c>
      <c r="C22" t="s">
        <v>253</v>
      </c>
      <c r="D22" t="s">
        <v>46</v>
      </c>
      <c r="E22" s="1">
        <v>45271</v>
      </c>
      <c r="F22" s="1">
        <v>46052</v>
      </c>
      <c r="G22" t="s">
        <v>254</v>
      </c>
      <c r="H22" t="s">
        <v>23</v>
      </c>
      <c r="J22">
        <v>0</v>
      </c>
      <c r="K22">
        <f t="shared" si="0"/>
        <v>0</v>
      </c>
    </row>
    <row r="23" spans="1:11" x14ac:dyDescent="0.3">
      <c r="A23" t="s">
        <v>294</v>
      </c>
      <c r="B23" t="s">
        <v>295</v>
      </c>
      <c r="C23" t="s">
        <v>296</v>
      </c>
      <c r="D23" t="s">
        <v>297</v>
      </c>
      <c r="E23" s="1">
        <v>45166</v>
      </c>
      <c r="F23" s="1">
        <v>46387</v>
      </c>
      <c r="G23" t="s">
        <v>298</v>
      </c>
      <c r="H23" t="s">
        <v>23</v>
      </c>
      <c r="J23">
        <v>0</v>
      </c>
      <c r="K23">
        <f t="shared" si="0"/>
        <v>0</v>
      </c>
    </row>
    <row r="24" spans="1:11" x14ac:dyDescent="0.3">
      <c r="A24" t="s">
        <v>309</v>
      </c>
      <c r="B24" t="s">
        <v>95</v>
      </c>
      <c r="C24" t="s">
        <v>310</v>
      </c>
      <c r="D24" t="s">
        <v>21</v>
      </c>
      <c r="E24" s="1">
        <v>45166</v>
      </c>
      <c r="F24" s="1">
        <v>46094</v>
      </c>
      <c r="G24" t="s">
        <v>311</v>
      </c>
      <c r="H24" t="s">
        <v>23</v>
      </c>
      <c r="J24">
        <v>49</v>
      </c>
      <c r="K24">
        <f t="shared" si="0"/>
        <v>9.4230769230769229E-2</v>
      </c>
    </row>
    <row r="25" spans="1:11" x14ac:dyDescent="0.3">
      <c r="A25" t="s">
        <v>312</v>
      </c>
      <c r="B25" t="s">
        <v>137</v>
      </c>
      <c r="C25" t="s">
        <v>313</v>
      </c>
      <c r="D25" t="s">
        <v>21</v>
      </c>
      <c r="E25" s="1">
        <v>45138</v>
      </c>
      <c r="F25" s="1">
        <v>46326</v>
      </c>
      <c r="G25" t="s">
        <v>314</v>
      </c>
      <c r="H25" t="s">
        <v>23</v>
      </c>
      <c r="J25">
        <v>1</v>
      </c>
      <c r="K25">
        <f t="shared" si="0"/>
        <v>1.9230769230769232E-3</v>
      </c>
    </row>
    <row r="26" spans="1:11" x14ac:dyDescent="0.3">
      <c r="A26" t="s">
        <v>315</v>
      </c>
      <c r="B26" t="s">
        <v>95</v>
      </c>
      <c r="C26" t="s">
        <v>316</v>
      </c>
      <c r="D26" t="s">
        <v>21</v>
      </c>
      <c r="E26" s="1">
        <v>45565</v>
      </c>
      <c r="F26" s="1">
        <v>46087</v>
      </c>
      <c r="G26" t="s">
        <v>317</v>
      </c>
      <c r="H26" t="s">
        <v>23</v>
      </c>
      <c r="J26">
        <v>21</v>
      </c>
      <c r="K26">
        <f t="shared" si="0"/>
        <v>4.0384615384615387E-2</v>
      </c>
    </row>
    <row r="27" spans="1:11" x14ac:dyDescent="0.3">
      <c r="A27" t="s">
        <v>370</v>
      </c>
      <c r="B27" t="s">
        <v>371</v>
      </c>
      <c r="C27" t="s">
        <v>372</v>
      </c>
      <c r="D27" t="s">
        <v>153</v>
      </c>
      <c r="E27" s="1">
        <v>45138</v>
      </c>
      <c r="F27" s="1">
        <v>46061</v>
      </c>
      <c r="G27" t="s">
        <v>373</v>
      </c>
      <c r="H27" t="s">
        <v>23</v>
      </c>
      <c r="J27">
        <v>0</v>
      </c>
      <c r="K27">
        <f t="shared" si="0"/>
        <v>0</v>
      </c>
    </row>
    <row r="28" spans="1:11" x14ac:dyDescent="0.3">
      <c r="A28" t="s">
        <v>374</v>
      </c>
      <c r="B28" t="s">
        <v>371</v>
      </c>
      <c r="C28" t="s">
        <v>375</v>
      </c>
      <c r="D28" t="s">
        <v>153</v>
      </c>
      <c r="E28" s="1">
        <v>45166</v>
      </c>
      <c r="F28" s="1">
        <v>46052</v>
      </c>
      <c r="G28" t="s">
        <v>376</v>
      </c>
      <c r="H28" t="s">
        <v>23</v>
      </c>
      <c r="J28">
        <v>0</v>
      </c>
      <c r="K28">
        <f t="shared" si="0"/>
        <v>0</v>
      </c>
    </row>
    <row r="29" spans="1:11" x14ac:dyDescent="0.3">
      <c r="A29" t="s">
        <v>377</v>
      </c>
      <c r="B29" t="s">
        <v>95</v>
      </c>
      <c r="C29" t="s">
        <v>378</v>
      </c>
      <c r="D29" t="s">
        <v>10</v>
      </c>
      <c r="E29" s="1">
        <v>45137</v>
      </c>
      <c r="F29" s="1">
        <v>46085</v>
      </c>
      <c r="G29" t="s">
        <v>379</v>
      </c>
      <c r="H29" t="s">
        <v>23</v>
      </c>
      <c r="J29">
        <v>40</v>
      </c>
      <c r="K29">
        <f t="shared" si="0"/>
        <v>7.6923076923076927E-2</v>
      </c>
    </row>
    <row r="30" spans="1:11" x14ac:dyDescent="0.3">
      <c r="A30" t="s">
        <v>380</v>
      </c>
      <c r="B30" t="s">
        <v>133</v>
      </c>
      <c r="C30" t="s">
        <v>381</v>
      </c>
      <c r="D30" t="s">
        <v>153</v>
      </c>
      <c r="E30" s="1">
        <v>45166</v>
      </c>
      <c r="F30" s="1">
        <v>46030</v>
      </c>
      <c r="G30" t="s">
        <v>382</v>
      </c>
      <c r="H30" t="s">
        <v>23</v>
      </c>
      <c r="J30">
        <v>22</v>
      </c>
      <c r="K30">
        <f t="shared" si="0"/>
        <v>4.230769230769231E-2</v>
      </c>
    </row>
    <row r="31" spans="1:11" x14ac:dyDescent="0.3">
      <c r="A31" t="s">
        <v>383</v>
      </c>
      <c r="B31" t="s">
        <v>137</v>
      </c>
      <c r="C31" t="s">
        <v>384</v>
      </c>
      <c r="D31" t="s">
        <v>56</v>
      </c>
      <c r="E31" s="1">
        <v>45257</v>
      </c>
      <c r="F31" s="1">
        <v>46089</v>
      </c>
      <c r="G31" t="s">
        <v>385</v>
      </c>
      <c r="H31" t="s">
        <v>23</v>
      </c>
      <c r="J31">
        <v>4</v>
      </c>
      <c r="K31">
        <f t="shared" si="0"/>
        <v>7.6923076923076927E-3</v>
      </c>
    </row>
    <row r="32" spans="1:11" x14ac:dyDescent="0.3">
      <c r="A32" t="s">
        <v>390</v>
      </c>
      <c r="B32" t="s">
        <v>391</v>
      </c>
      <c r="C32" t="s">
        <v>392</v>
      </c>
      <c r="D32" t="s">
        <v>393</v>
      </c>
      <c r="E32" s="1">
        <v>45544</v>
      </c>
      <c r="F32" s="1">
        <v>46082</v>
      </c>
      <c r="G32" t="s">
        <v>394</v>
      </c>
      <c r="H32" t="s">
        <v>23</v>
      </c>
      <c r="J32">
        <v>0</v>
      </c>
      <c r="K32">
        <f t="shared" si="0"/>
        <v>0</v>
      </c>
    </row>
    <row r="33" spans="1:11" x14ac:dyDescent="0.3">
      <c r="A33" t="s">
        <v>395</v>
      </c>
      <c r="B33" t="s">
        <v>133</v>
      </c>
      <c r="C33" t="s">
        <v>396</v>
      </c>
      <c r="D33" t="s">
        <v>393</v>
      </c>
      <c r="E33" s="1">
        <v>45754</v>
      </c>
      <c r="F33" s="1">
        <v>45872</v>
      </c>
      <c r="G33" t="s">
        <v>397</v>
      </c>
      <c r="H33" t="s">
        <v>23</v>
      </c>
      <c r="J33">
        <v>0</v>
      </c>
      <c r="K33">
        <f t="shared" si="0"/>
        <v>0</v>
      </c>
    </row>
    <row r="34" spans="1:11" x14ac:dyDescent="0.3">
      <c r="A34" t="s">
        <v>423</v>
      </c>
      <c r="B34" t="s">
        <v>152</v>
      </c>
      <c r="C34" t="s">
        <v>424</v>
      </c>
      <c r="D34" t="s">
        <v>419</v>
      </c>
      <c r="E34" s="1">
        <v>45201</v>
      </c>
      <c r="F34" s="1">
        <v>46022</v>
      </c>
      <c r="G34" t="s">
        <v>425</v>
      </c>
      <c r="H34" t="s">
        <v>23</v>
      </c>
      <c r="J34">
        <v>0</v>
      </c>
      <c r="K34">
        <f t="shared" si="0"/>
        <v>0</v>
      </c>
    </row>
    <row r="35" spans="1:11" x14ac:dyDescent="0.3">
      <c r="A35" t="s">
        <v>469</v>
      </c>
      <c r="B35" t="s">
        <v>124</v>
      </c>
      <c r="C35" t="s">
        <v>470</v>
      </c>
      <c r="D35" t="s">
        <v>471</v>
      </c>
      <c r="E35" s="1">
        <v>45166</v>
      </c>
      <c r="F35" s="1">
        <v>46085</v>
      </c>
      <c r="G35" t="s">
        <v>472</v>
      </c>
      <c r="H35" t="s">
        <v>23</v>
      </c>
      <c r="J35">
        <v>42</v>
      </c>
      <c r="K35">
        <f t="shared" si="0"/>
        <v>8.0769230769230774E-2</v>
      </c>
    </row>
    <row r="36" spans="1:11" x14ac:dyDescent="0.3">
      <c r="A36" t="s">
        <v>473</v>
      </c>
      <c r="B36" t="s">
        <v>124</v>
      </c>
      <c r="C36" t="s">
        <v>474</v>
      </c>
      <c r="D36" t="s">
        <v>471</v>
      </c>
      <c r="E36" s="1">
        <v>45166</v>
      </c>
      <c r="F36" s="1">
        <v>46086</v>
      </c>
      <c r="G36" t="s">
        <v>475</v>
      </c>
      <c r="H36" t="s">
        <v>23</v>
      </c>
      <c r="J36">
        <v>10</v>
      </c>
      <c r="K36">
        <f t="shared" si="0"/>
        <v>1.9230769230769232E-2</v>
      </c>
    </row>
    <row r="37" spans="1:11" x14ac:dyDescent="0.3">
      <c r="A37" t="s">
        <v>476</v>
      </c>
      <c r="B37" t="s">
        <v>124</v>
      </c>
      <c r="C37" t="s">
        <v>477</v>
      </c>
      <c r="D37" t="s">
        <v>471</v>
      </c>
      <c r="E37" s="1">
        <v>45467</v>
      </c>
      <c r="F37" s="1">
        <v>46022</v>
      </c>
      <c r="G37" t="s">
        <v>478</v>
      </c>
      <c r="H37" t="s">
        <v>23</v>
      </c>
      <c r="J37">
        <v>0</v>
      </c>
      <c r="K37">
        <f t="shared" si="0"/>
        <v>0</v>
      </c>
    </row>
    <row r="38" spans="1:11" x14ac:dyDescent="0.3">
      <c r="A38" t="s">
        <v>548</v>
      </c>
      <c r="B38" t="s">
        <v>549</v>
      </c>
      <c r="C38" t="s">
        <v>550</v>
      </c>
      <c r="D38" t="s">
        <v>297</v>
      </c>
      <c r="E38" s="1">
        <v>45306</v>
      </c>
      <c r="F38" s="1">
        <v>46059</v>
      </c>
      <c r="G38" t="s">
        <v>551</v>
      </c>
      <c r="H38" t="s">
        <v>23</v>
      </c>
      <c r="J38">
        <v>0</v>
      </c>
      <c r="K38">
        <f t="shared" si="0"/>
        <v>0</v>
      </c>
    </row>
    <row r="39" spans="1:11" x14ac:dyDescent="0.3">
      <c r="A39" t="s">
        <v>572</v>
      </c>
      <c r="B39" t="s">
        <v>573</v>
      </c>
      <c r="C39" t="s">
        <v>574</v>
      </c>
      <c r="D39" t="s">
        <v>46</v>
      </c>
      <c r="E39" s="1">
        <v>45139</v>
      </c>
      <c r="F39" s="1">
        <v>46387</v>
      </c>
      <c r="G39" t="s">
        <v>575</v>
      </c>
      <c r="H39" t="s">
        <v>23</v>
      </c>
      <c r="J39">
        <v>6</v>
      </c>
      <c r="K39">
        <f t="shared" si="0"/>
        <v>1.1538461538461539E-2</v>
      </c>
    </row>
    <row r="40" spans="1:11" x14ac:dyDescent="0.3">
      <c r="A40" t="s">
        <v>591</v>
      </c>
      <c r="B40" t="s">
        <v>592</v>
      </c>
      <c r="C40" t="s">
        <v>593</v>
      </c>
      <c r="D40" t="s">
        <v>56</v>
      </c>
      <c r="E40" s="1">
        <v>45411</v>
      </c>
      <c r="F40" s="1">
        <v>46387</v>
      </c>
      <c r="G40" t="s">
        <v>594</v>
      </c>
      <c r="H40" t="s">
        <v>23</v>
      </c>
      <c r="J40">
        <v>0</v>
      </c>
      <c r="K40">
        <f t="shared" si="0"/>
        <v>0</v>
      </c>
    </row>
    <row r="41" spans="1:11" x14ac:dyDescent="0.3">
      <c r="A41" t="s">
        <v>612</v>
      </c>
      <c r="B41" t="s">
        <v>613</v>
      </c>
      <c r="C41" t="s">
        <v>614</v>
      </c>
      <c r="D41" t="s">
        <v>46</v>
      </c>
      <c r="E41" s="1">
        <v>45166</v>
      </c>
      <c r="F41" s="1">
        <v>46388</v>
      </c>
      <c r="G41" t="s">
        <v>615</v>
      </c>
      <c r="H41" t="s">
        <v>23</v>
      </c>
      <c r="J41">
        <v>11</v>
      </c>
      <c r="K41">
        <f t="shared" si="0"/>
        <v>2.1153846153846155E-2</v>
      </c>
    </row>
    <row r="42" spans="1:11" x14ac:dyDescent="0.3">
      <c r="A42" t="s">
        <v>616</v>
      </c>
      <c r="B42" t="s">
        <v>613</v>
      </c>
      <c r="C42" t="s">
        <v>614</v>
      </c>
      <c r="D42" t="s">
        <v>46</v>
      </c>
      <c r="E42" s="1">
        <v>45166</v>
      </c>
      <c r="F42" s="1">
        <v>46388</v>
      </c>
      <c r="G42" t="s">
        <v>617</v>
      </c>
      <c r="H42" t="s">
        <v>23</v>
      </c>
      <c r="J42">
        <v>24</v>
      </c>
      <c r="K42">
        <f t="shared" si="0"/>
        <v>4.6153846153846156E-2</v>
      </c>
    </row>
    <row r="43" spans="1:11" x14ac:dyDescent="0.3">
      <c r="A43" t="s">
        <v>618</v>
      </c>
      <c r="B43" t="s">
        <v>129</v>
      </c>
      <c r="C43" t="s">
        <v>619</v>
      </c>
      <c r="D43" t="s">
        <v>46</v>
      </c>
      <c r="E43" s="1">
        <v>45600</v>
      </c>
      <c r="F43" s="1">
        <v>46079</v>
      </c>
      <c r="G43" t="s">
        <v>620</v>
      </c>
      <c r="H43" t="s">
        <v>23</v>
      </c>
      <c r="J43">
        <v>45</v>
      </c>
      <c r="K43">
        <f t="shared" si="0"/>
        <v>8.6538461538461536E-2</v>
      </c>
    </row>
    <row r="44" spans="1:11" x14ac:dyDescent="0.3">
      <c r="A44" t="s">
        <v>621</v>
      </c>
      <c r="B44" t="s">
        <v>613</v>
      </c>
      <c r="C44" t="s">
        <v>614</v>
      </c>
      <c r="D44" t="s">
        <v>46</v>
      </c>
      <c r="E44" s="1">
        <v>45166</v>
      </c>
      <c r="F44" s="1">
        <v>46388</v>
      </c>
      <c r="G44" t="s">
        <v>622</v>
      </c>
      <c r="H44" t="s">
        <v>23</v>
      </c>
      <c r="J44">
        <v>24</v>
      </c>
      <c r="K44">
        <f t="shared" si="0"/>
        <v>4.6153846153846156E-2</v>
      </c>
    </row>
    <row r="45" spans="1:11" x14ac:dyDescent="0.3">
      <c r="A45" t="s">
        <v>625</v>
      </c>
      <c r="J45">
        <v>0</v>
      </c>
      <c r="K45">
        <f t="shared" si="0"/>
        <v>0</v>
      </c>
    </row>
    <row r="46" spans="1:11" x14ac:dyDescent="0.3">
      <c r="A46" t="s">
        <v>626</v>
      </c>
      <c r="J46">
        <f>SUM(J7:J45)</f>
        <v>520</v>
      </c>
      <c r="K46">
        <f>SUM(K7:K45)</f>
        <v>1</v>
      </c>
    </row>
  </sheetData>
  <phoneticPr fontId="1"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68"/>
  <sheetViews>
    <sheetView workbookViewId="0"/>
  </sheetViews>
  <sheetFormatPr defaultRowHeight="14.5" x14ac:dyDescent="0.3"/>
  <sheetData>
    <row r="1" spans="1:11" x14ac:dyDescent="0.3">
      <c r="A1" t="s">
        <v>0</v>
      </c>
    </row>
    <row r="2" spans="1:11" x14ac:dyDescent="0.3">
      <c r="A2" t="s">
        <v>1</v>
      </c>
    </row>
    <row r="3" spans="1:11" x14ac:dyDescent="0.3">
      <c r="A3" t="s">
        <v>2</v>
      </c>
      <c r="B3" t="s">
        <v>632</v>
      </c>
    </row>
    <row r="4" spans="1:11" x14ac:dyDescent="0.3">
      <c r="J4" t="s">
        <v>4</v>
      </c>
    </row>
    <row r="5" spans="1:11" x14ac:dyDescent="0.3">
      <c r="A5" t="s">
        <v>5</v>
      </c>
      <c r="J5" t="s">
        <v>6</v>
      </c>
    </row>
    <row r="6" spans="1:11" x14ac:dyDescent="0.3">
      <c r="A6" t="s">
        <v>7</v>
      </c>
      <c r="B6" t="s">
        <v>8</v>
      </c>
      <c r="C6" t="s">
        <v>9</v>
      </c>
      <c r="D6" t="s">
        <v>10</v>
      </c>
      <c r="E6" t="s">
        <v>11</v>
      </c>
      <c r="F6" t="s">
        <v>12</v>
      </c>
      <c r="G6" t="s">
        <v>13</v>
      </c>
      <c r="H6" t="s">
        <v>14</v>
      </c>
      <c r="I6" t="s">
        <v>15</v>
      </c>
      <c r="J6" t="s">
        <v>16</v>
      </c>
      <c r="K6" t="s">
        <v>17</v>
      </c>
    </row>
    <row r="7" spans="1:11" x14ac:dyDescent="0.3">
      <c r="J7">
        <v>0</v>
      </c>
      <c r="K7">
        <f t="shared" ref="K7:K38" si="0">J7/$J$68</f>
        <v>0</v>
      </c>
    </row>
    <row r="8" spans="1:11" x14ac:dyDescent="0.3">
      <c r="A8" t="s">
        <v>69</v>
      </c>
      <c r="B8" t="s">
        <v>70</v>
      </c>
      <c r="C8" t="s">
        <v>71</v>
      </c>
      <c r="D8" t="s">
        <v>21</v>
      </c>
      <c r="E8" s="1">
        <v>45754</v>
      </c>
      <c r="F8" s="1">
        <v>46053</v>
      </c>
      <c r="G8" t="s">
        <v>72</v>
      </c>
      <c r="H8" t="s">
        <v>23</v>
      </c>
      <c r="J8">
        <v>1.2</v>
      </c>
      <c r="K8">
        <f t="shared" si="0"/>
        <v>4.8721071863580996E-3</v>
      </c>
    </row>
    <row r="9" spans="1:11" x14ac:dyDescent="0.3">
      <c r="A9" t="s">
        <v>73</v>
      </c>
      <c r="B9" t="s">
        <v>70</v>
      </c>
      <c r="C9" t="s">
        <v>71</v>
      </c>
      <c r="D9" t="s">
        <v>21</v>
      </c>
      <c r="E9" s="1">
        <v>45754</v>
      </c>
      <c r="F9" s="1">
        <v>46142</v>
      </c>
      <c r="G9" t="s">
        <v>74</v>
      </c>
      <c r="H9" t="s">
        <v>23</v>
      </c>
      <c r="J9">
        <v>1.3</v>
      </c>
      <c r="K9">
        <f t="shared" si="0"/>
        <v>5.2781161185546082E-3</v>
      </c>
    </row>
    <row r="10" spans="1:11" x14ac:dyDescent="0.3">
      <c r="A10" t="s">
        <v>80</v>
      </c>
      <c r="B10" t="s">
        <v>81</v>
      </c>
      <c r="C10" t="s">
        <v>82</v>
      </c>
      <c r="D10" t="s">
        <v>46</v>
      </c>
      <c r="E10" s="1">
        <v>45670</v>
      </c>
      <c r="F10" s="1">
        <v>46387</v>
      </c>
      <c r="G10" t="s">
        <v>83</v>
      </c>
      <c r="H10" t="s">
        <v>23</v>
      </c>
      <c r="J10">
        <v>17</v>
      </c>
      <c r="K10">
        <f t="shared" si="0"/>
        <v>6.9021518473406415E-2</v>
      </c>
    </row>
    <row r="11" spans="1:11" x14ac:dyDescent="0.3">
      <c r="A11" t="s">
        <v>91</v>
      </c>
      <c r="B11" t="s">
        <v>81</v>
      </c>
      <c r="C11" t="s">
        <v>92</v>
      </c>
      <c r="D11" t="s">
        <v>46</v>
      </c>
      <c r="E11" s="1">
        <v>45110</v>
      </c>
      <c r="F11" s="1">
        <v>46022</v>
      </c>
      <c r="G11" t="s">
        <v>93</v>
      </c>
      <c r="H11" t="s">
        <v>23</v>
      </c>
      <c r="J11">
        <v>1</v>
      </c>
      <c r="K11">
        <f t="shared" si="0"/>
        <v>4.0600893219650833E-3</v>
      </c>
    </row>
    <row r="12" spans="1:11" x14ac:dyDescent="0.3">
      <c r="A12" t="s">
        <v>140</v>
      </c>
      <c r="B12" t="s">
        <v>70</v>
      </c>
      <c r="C12" t="s">
        <v>71</v>
      </c>
      <c r="D12" t="s">
        <v>126</v>
      </c>
      <c r="E12" s="1">
        <v>45726</v>
      </c>
      <c r="F12" s="1">
        <v>45942</v>
      </c>
      <c r="G12" t="s">
        <v>141</v>
      </c>
      <c r="H12" t="s">
        <v>23</v>
      </c>
      <c r="J12">
        <v>2.2000000000000002</v>
      </c>
      <c r="K12">
        <f t="shared" si="0"/>
        <v>8.9321965083231838E-3</v>
      </c>
    </row>
    <row r="13" spans="1:11" x14ac:dyDescent="0.3">
      <c r="A13" t="s">
        <v>158</v>
      </c>
      <c r="B13" t="s">
        <v>81</v>
      </c>
      <c r="C13" t="s">
        <v>82</v>
      </c>
      <c r="D13" t="s">
        <v>159</v>
      </c>
      <c r="E13" s="1">
        <v>45460</v>
      </c>
      <c r="F13" s="1">
        <v>46022</v>
      </c>
      <c r="G13" t="s">
        <v>160</v>
      </c>
      <c r="H13" t="s">
        <v>23</v>
      </c>
      <c r="J13">
        <v>0</v>
      </c>
      <c r="K13">
        <f t="shared" si="0"/>
        <v>0</v>
      </c>
    </row>
    <row r="14" spans="1:11" x14ac:dyDescent="0.3">
      <c r="A14" t="s">
        <v>165</v>
      </c>
      <c r="B14" t="s">
        <v>81</v>
      </c>
      <c r="C14" t="s">
        <v>166</v>
      </c>
      <c r="D14" t="s">
        <v>167</v>
      </c>
      <c r="E14" s="1">
        <v>45313</v>
      </c>
      <c r="F14" s="1">
        <v>46022</v>
      </c>
      <c r="G14" t="s">
        <v>168</v>
      </c>
      <c r="H14" t="s">
        <v>23</v>
      </c>
      <c r="J14">
        <v>0</v>
      </c>
      <c r="K14">
        <f t="shared" si="0"/>
        <v>0</v>
      </c>
    </row>
    <row r="15" spans="1:11" x14ac:dyDescent="0.3">
      <c r="A15" t="s">
        <v>169</v>
      </c>
      <c r="B15" t="s">
        <v>81</v>
      </c>
      <c r="C15" t="s">
        <v>170</v>
      </c>
      <c r="D15" t="s">
        <v>167</v>
      </c>
      <c r="E15" s="1">
        <v>45362</v>
      </c>
      <c r="F15" s="1">
        <v>46387</v>
      </c>
      <c r="G15" t="s">
        <v>171</v>
      </c>
      <c r="H15" t="s">
        <v>23</v>
      </c>
      <c r="J15">
        <v>0</v>
      </c>
      <c r="K15">
        <f t="shared" si="0"/>
        <v>0</v>
      </c>
    </row>
    <row r="16" spans="1:11" x14ac:dyDescent="0.3">
      <c r="A16" t="s">
        <v>172</v>
      </c>
      <c r="B16" t="s">
        <v>81</v>
      </c>
      <c r="C16" t="s">
        <v>82</v>
      </c>
      <c r="D16" t="s">
        <v>173</v>
      </c>
      <c r="E16" s="1">
        <v>45166</v>
      </c>
      <c r="F16" s="1">
        <v>46387</v>
      </c>
      <c r="G16" t="s">
        <v>174</v>
      </c>
      <c r="H16" t="s">
        <v>23</v>
      </c>
      <c r="J16">
        <v>0</v>
      </c>
      <c r="K16">
        <f t="shared" si="0"/>
        <v>0</v>
      </c>
    </row>
    <row r="17" spans="1:11" x14ac:dyDescent="0.3">
      <c r="A17" t="s">
        <v>175</v>
      </c>
      <c r="B17" t="s">
        <v>81</v>
      </c>
      <c r="C17" t="s">
        <v>82</v>
      </c>
      <c r="D17" t="s">
        <v>101</v>
      </c>
      <c r="E17" s="1">
        <v>45439</v>
      </c>
      <c r="F17" s="1">
        <v>46387</v>
      </c>
      <c r="G17" t="s">
        <v>176</v>
      </c>
      <c r="H17" t="s">
        <v>23</v>
      </c>
      <c r="J17">
        <v>9</v>
      </c>
      <c r="K17">
        <f t="shared" si="0"/>
        <v>3.6540803897685749E-2</v>
      </c>
    </row>
    <row r="18" spans="1:11" x14ac:dyDescent="0.3">
      <c r="A18" t="s">
        <v>177</v>
      </c>
      <c r="B18" t="s">
        <v>81</v>
      </c>
      <c r="C18" t="s">
        <v>170</v>
      </c>
      <c r="D18" t="s">
        <v>178</v>
      </c>
      <c r="E18" s="1">
        <v>45355</v>
      </c>
      <c r="F18" s="1">
        <v>46022</v>
      </c>
      <c r="G18" t="s">
        <v>179</v>
      </c>
      <c r="H18" t="s">
        <v>23</v>
      </c>
      <c r="J18">
        <v>1</v>
      </c>
      <c r="K18">
        <f t="shared" si="0"/>
        <v>4.0600893219650833E-3</v>
      </c>
    </row>
    <row r="19" spans="1:11" x14ac:dyDescent="0.3">
      <c r="A19" t="s">
        <v>180</v>
      </c>
      <c r="B19" t="s">
        <v>81</v>
      </c>
      <c r="C19" t="s">
        <v>166</v>
      </c>
      <c r="D19" t="s">
        <v>153</v>
      </c>
      <c r="E19" s="1">
        <v>45292</v>
      </c>
      <c r="F19" s="1">
        <v>46022</v>
      </c>
      <c r="G19" t="s">
        <v>181</v>
      </c>
      <c r="H19" t="s">
        <v>23</v>
      </c>
      <c r="J19">
        <v>0</v>
      </c>
      <c r="K19">
        <f t="shared" si="0"/>
        <v>0</v>
      </c>
    </row>
    <row r="20" spans="1:11" x14ac:dyDescent="0.3">
      <c r="A20" t="s">
        <v>182</v>
      </c>
      <c r="B20" t="s">
        <v>81</v>
      </c>
      <c r="C20" t="s">
        <v>82</v>
      </c>
      <c r="D20" t="s">
        <v>21</v>
      </c>
      <c r="E20" s="1">
        <v>45495</v>
      </c>
      <c r="F20" s="1">
        <v>46022</v>
      </c>
      <c r="G20" t="s">
        <v>183</v>
      </c>
      <c r="H20" t="s">
        <v>23</v>
      </c>
      <c r="J20">
        <v>0</v>
      </c>
      <c r="K20">
        <f t="shared" si="0"/>
        <v>0</v>
      </c>
    </row>
    <row r="21" spans="1:11" x14ac:dyDescent="0.3">
      <c r="A21" t="s">
        <v>184</v>
      </c>
      <c r="B21" t="s">
        <v>81</v>
      </c>
      <c r="C21" t="s">
        <v>170</v>
      </c>
      <c r="D21" t="s">
        <v>21</v>
      </c>
      <c r="E21" s="1">
        <v>45446</v>
      </c>
      <c r="F21" s="1">
        <v>46022</v>
      </c>
      <c r="G21" t="s">
        <v>185</v>
      </c>
      <c r="H21" t="s">
        <v>23</v>
      </c>
      <c r="J21">
        <v>0</v>
      </c>
      <c r="K21">
        <f t="shared" si="0"/>
        <v>0</v>
      </c>
    </row>
    <row r="22" spans="1:11" x14ac:dyDescent="0.3">
      <c r="A22" t="s">
        <v>186</v>
      </c>
      <c r="B22" t="s">
        <v>81</v>
      </c>
      <c r="C22" t="s">
        <v>92</v>
      </c>
      <c r="D22" t="s">
        <v>64</v>
      </c>
      <c r="E22" s="1">
        <v>45565</v>
      </c>
      <c r="F22" s="1">
        <v>46387</v>
      </c>
      <c r="G22" t="s">
        <v>187</v>
      </c>
      <c r="H22" t="s">
        <v>23</v>
      </c>
      <c r="J22">
        <v>0</v>
      </c>
      <c r="K22">
        <f t="shared" si="0"/>
        <v>0</v>
      </c>
    </row>
    <row r="23" spans="1:11" x14ac:dyDescent="0.3">
      <c r="A23" t="s">
        <v>214</v>
      </c>
      <c r="B23" t="s">
        <v>70</v>
      </c>
      <c r="C23" t="s">
        <v>215</v>
      </c>
      <c r="D23" t="s">
        <v>10</v>
      </c>
      <c r="E23" s="1">
        <v>45138</v>
      </c>
      <c r="F23" s="1">
        <v>46022</v>
      </c>
      <c r="G23" t="s">
        <v>216</v>
      </c>
      <c r="H23" t="s">
        <v>23</v>
      </c>
      <c r="J23">
        <v>0</v>
      </c>
      <c r="K23">
        <f t="shared" si="0"/>
        <v>0</v>
      </c>
    </row>
    <row r="24" spans="1:11" x14ac:dyDescent="0.3">
      <c r="A24" t="s">
        <v>217</v>
      </c>
      <c r="B24" t="s">
        <v>70</v>
      </c>
      <c r="C24" t="s">
        <v>215</v>
      </c>
      <c r="D24" t="s">
        <v>10</v>
      </c>
      <c r="E24" s="1">
        <v>45138</v>
      </c>
      <c r="F24" s="1">
        <v>46022</v>
      </c>
      <c r="G24" t="s">
        <v>218</v>
      </c>
      <c r="H24" t="s">
        <v>23</v>
      </c>
      <c r="J24">
        <v>0</v>
      </c>
      <c r="K24">
        <f t="shared" si="0"/>
        <v>0</v>
      </c>
    </row>
    <row r="25" spans="1:11" x14ac:dyDescent="0.3">
      <c r="A25" t="s">
        <v>255</v>
      </c>
      <c r="B25" t="s">
        <v>70</v>
      </c>
      <c r="C25" t="s">
        <v>71</v>
      </c>
      <c r="D25" t="s">
        <v>228</v>
      </c>
      <c r="E25" s="1">
        <v>45831</v>
      </c>
      <c r="F25" s="1">
        <v>46021</v>
      </c>
      <c r="G25" t="s">
        <v>256</v>
      </c>
      <c r="H25" t="s">
        <v>23</v>
      </c>
      <c r="J25">
        <v>9</v>
      </c>
      <c r="K25">
        <f t="shared" si="0"/>
        <v>3.6540803897685749E-2</v>
      </c>
    </row>
    <row r="26" spans="1:11" x14ac:dyDescent="0.3">
      <c r="A26" t="s">
        <v>257</v>
      </c>
      <c r="B26" t="s">
        <v>70</v>
      </c>
      <c r="C26" t="s">
        <v>71</v>
      </c>
      <c r="D26" t="s">
        <v>126</v>
      </c>
      <c r="E26" s="1">
        <v>45761</v>
      </c>
      <c r="F26" s="1">
        <v>45899</v>
      </c>
      <c r="G26" t="s">
        <v>258</v>
      </c>
      <c r="H26" t="s">
        <v>23</v>
      </c>
      <c r="J26">
        <v>0</v>
      </c>
      <c r="K26">
        <f t="shared" si="0"/>
        <v>0</v>
      </c>
    </row>
    <row r="27" spans="1:11" x14ac:dyDescent="0.3">
      <c r="A27" t="s">
        <v>259</v>
      </c>
      <c r="B27" t="s">
        <v>70</v>
      </c>
      <c r="C27" t="s">
        <v>260</v>
      </c>
      <c r="D27" t="s">
        <v>78</v>
      </c>
      <c r="E27" s="1">
        <v>45170</v>
      </c>
      <c r="F27" s="1">
        <v>46387</v>
      </c>
      <c r="G27" t="s">
        <v>261</v>
      </c>
      <c r="H27" t="s">
        <v>23</v>
      </c>
      <c r="J27">
        <v>0</v>
      </c>
      <c r="K27">
        <f t="shared" si="0"/>
        <v>0</v>
      </c>
    </row>
    <row r="28" spans="1:11" x14ac:dyDescent="0.3">
      <c r="A28" t="s">
        <v>262</v>
      </c>
      <c r="B28" t="s">
        <v>70</v>
      </c>
      <c r="C28" t="s">
        <v>263</v>
      </c>
      <c r="D28" t="s">
        <v>228</v>
      </c>
      <c r="E28" s="1">
        <v>45775</v>
      </c>
      <c r="F28" s="1">
        <v>46022</v>
      </c>
      <c r="G28" t="s">
        <v>264</v>
      </c>
      <c r="H28" t="s">
        <v>23</v>
      </c>
      <c r="J28">
        <v>2.4</v>
      </c>
      <c r="K28">
        <f t="shared" si="0"/>
        <v>9.7442143727161992E-3</v>
      </c>
    </row>
    <row r="29" spans="1:11" x14ac:dyDescent="0.3">
      <c r="A29" t="s">
        <v>265</v>
      </c>
      <c r="B29" t="s">
        <v>70</v>
      </c>
      <c r="C29" t="s">
        <v>263</v>
      </c>
      <c r="D29" t="s">
        <v>228</v>
      </c>
      <c r="E29" s="1">
        <v>45642</v>
      </c>
      <c r="F29" s="1">
        <v>46005</v>
      </c>
      <c r="G29" t="s">
        <v>266</v>
      </c>
      <c r="H29" t="s">
        <v>23</v>
      </c>
      <c r="J29">
        <v>2</v>
      </c>
      <c r="K29">
        <f t="shared" si="0"/>
        <v>8.1201786439301666E-3</v>
      </c>
    </row>
    <row r="30" spans="1:11" x14ac:dyDescent="0.3">
      <c r="A30" t="s">
        <v>267</v>
      </c>
      <c r="B30" t="s">
        <v>70</v>
      </c>
      <c r="C30" t="s">
        <v>70</v>
      </c>
      <c r="E30" s="1">
        <v>45845</v>
      </c>
      <c r="F30" s="1">
        <v>45877</v>
      </c>
      <c r="G30" t="s">
        <v>268</v>
      </c>
      <c r="H30" t="s">
        <v>23</v>
      </c>
      <c r="J30">
        <v>0</v>
      </c>
      <c r="K30">
        <f t="shared" si="0"/>
        <v>0</v>
      </c>
    </row>
    <row r="31" spans="1:11" x14ac:dyDescent="0.3">
      <c r="A31" t="s">
        <v>269</v>
      </c>
      <c r="B31" t="s">
        <v>70</v>
      </c>
      <c r="C31" t="s">
        <v>71</v>
      </c>
      <c r="D31" t="s">
        <v>228</v>
      </c>
      <c r="E31" s="1">
        <v>45593</v>
      </c>
      <c r="F31" s="1">
        <v>46066</v>
      </c>
      <c r="G31" t="s">
        <v>270</v>
      </c>
      <c r="H31" t="s">
        <v>23</v>
      </c>
      <c r="J31">
        <v>8</v>
      </c>
      <c r="K31">
        <f t="shared" si="0"/>
        <v>3.2480714575720666E-2</v>
      </c>
    </row>
    <row r="32" spans="1:11" x14ac:dyDescent="0.3">
      <c r="A32" t="s">
        <v>271</v>
      </c>
      <c r="B32" t="s">
        <v>70</v>
      </c>
      <c r="C32" t="s">
        <v>263</v>
      </c>
      <c r="D32" t="s">
        <v>228</v>
      </c>
      <c r="E32" s="1">
        <v>45726</v>
      </c>
      <c r="F32" s="1">
        <v>46059</v>
      </c>
      <c r="G32" t="s">
        <v>272</v>
      </c>
      <c r="H32" t="s">
        <v>23</v>
      </c>
      <c r="J32">
        <v>1.7</v>
      </c>
      <c r="K32">
        <f t="shared" si="0"/>
        <v>6.9021518473406408E-3</v>
      </c>
    </row>
    <row r="33" spans="1:11" x14ac:dyDescent="0.3">
      <c r="A33" t="s">
        <v>273</v>
      </c>
      <c r="B33" t="s">
        <v>70</v>
      </c>
      <c r="C33" t="s">
        <v>263</v>
      </c>
      <c r="D33" t="s">
        <v>228</v>
      </c>
      <c r="E33" s="1">
        <v>45726</v>
      </c>
      <c r="F33" s="1">
        <v>46005</v>
      </c>
      <c r="G33" t="s">
        <v>274</v>
      </c>
      <c r="H33" t="s">
        <v>23</v>
      </c>
      <c r="J33">
        <v>1.4</v>
      </c>
      <c r="K33">
        <f t="shared" si="0"/>
        <v>5.6841250507511159E-3</v>
      </c>
    </row>
    <row r="34" spans="1:11" x14ac:dyDescent="0.3">
      <c r="A34" t="s">
        <v>275</v>
      </c>
      <c r="B34" t="s">
        <v>70</v>
      </c>
      <c r="C34" t="s">
        <v>71</v>
      </c>
      <c r="D34" t="s">
        <v>228</v>
      </c>
      <c r="E34" s="1">
        <v>45775</v>
      </c>
      <c r="F34" s="1">
        <v>46077</v>
      </c>
      <c r="G34" t="s">
        <v>276</v>
      </c>
      <c r="H34" t="s">
        <v>23</v>
      </c>
      <c r="J34">
        <v>7.2</v>
      </c>
      <c r="K34">
        <f t="shared" si="0"/>
        <v>2.9232643118148598E-2</v>
      </c>
    </row>
    <row r="35" spans="1:11" x14ac:dyDescent="0.3">
      <c r="A35" t="s">
        <v>277</v>
      </c>
      <c r="B35" t="s">
        <v>70</v>
      </c>
      <c r="C35" t="s">
        <v>263</v>
      </c>
      <c r="D35" t="s">
        <v>228</v>
      </c>
      <c r="E35" s="1">
        <v>45775</v>
      </c>
      <c r="F35" s="1">
        <v>45961</v>
      </c>
      <c r="G35" t="s">
        <v>278</v>
      </c>
      <c r="H35" t="s">
        <v>23</v>
      </c>
      <c r="J35">
        <v>0.9</v>
      </c>
      <c r="K35">
        <f t="shared" si="0"/>
        <v>3.6540803897685747E-3</v>
      </c>
    </row>
    <row r="36" spans="1:11" x14ac:dyDescent="0.3">
      <c r="A36" t="s">
        <v>279</v>
      </c>
      <c r="B36" t="s">
        <v>70</v>
      </c>
      <c r="C36" t="s">
        <v>263</v>
      </c>
      <c r="D36" t="s">
        <v>228</v>
      </c>
      <c r="E36" s="1">
        <v>45775</v>
      </c>
      <c r="F36" s="1">
        <v>45869</v>
      </c>
      <c r="G36" t="s">
        <v>280</v>
      </c>
      <c r="H36" t="s">
        <v>23</v>
      </c>
      <c r="J36">
        <v>0</v>
      </c>
      <c r="K36">
        <f t="shared" si="0"/>
        <v>0</v>
      </c>
    </row>
    <row r="37" spans="1:11" x14ac:dyDescent="0.3">
      <c r="A37" t="s">
        <v>281</v>
      </c>
      <c r="B37" t="s">
        <v>70</v>
      </c>
      <c r="C37" t="s">
        <v>71</v>
      </c>
      <c r="D37" t="s">
        <v>228</v>
      </c>
      <c r="E37" s="1">
        <v>45704</v>
      </c>
      <c r="F37" s="1">
        <v>46060</v>
      </c>
      <c r="G37" t="s">
        <v>282</v>
      </c>
      <c r="H37" t="s">
        <v>23</v>
      </c>
      <c r="J37">
        <v>6</v>
      </c>
      <c r="K37">
        <f t="shared" si="0"/>
        <v>2.4360535931790498E-2</v>
      </c>
    </row>
    <row r="38" spans="1:11" x14ac:dyDescent="0.3">
      <c r="A38" t="s">
        <v>283</v>
      </c>
      <c r="B38" t="s">
        <v>70</v>
      </c>
      <c r="C38" t="s">
        <v>263</v>
      </c>
      <c r="D38" t="s">
        <v>228</v>
      </c>
      <c r="E38" s="1">
        <v>45775</v>
      </c>
      <c r="F38" s="1">
        <v>46022</v>
      </c>
      <c r="G38" t="s">
        <v>284</v>
      </c>
      <c r="H38" t="s">
        <v>23</v>
      </c>
      <c r="J38">
        <v>0</v>
      </c>
      <c r="K38">
        <f t="shared" si="0"/>
        <v>0</v>
      </c>
    </row>
    <row r="39" spans="1:11" x14ac:dyDescent="0.3">
      <c r="A39" t="s">
        <v>285</v>
      </c>
      <c r="B39" t="s">
        <v>70</v>
      </c>
      <c r="C39" t="s">
        <v>263</v>
      </c>
      <c r="D39" t="s">
        <v>228</v>
      </c>
      <c r="E39" s="1">
        <v>45775</v>
      </c>
      <c r="F39" s="1">
        <v>46022</v>
      </c>
      <c r="G39" t="s">
        <v>286</v>
      </c>
      <c r="H39" t="s">
        <v>23</v>
      </c>
      <c r="J39">
        <v>0</v>
      </c>
      <c r="K39">
        <f t="shared" ref="K39:K67" si="1">J39/$J$68</f>
        <v>0</v>
      </c>
    </row>
    <row r="40" spans="1:11" x14ac:dyDescent="0.3">
      <c r="A40" t="s">
        <v>287</v>
      </c>
      <c r="B40" t="s">
        <v>70</v>
      </c>
      <c r="C40" t="s">
        <v>71</v>
      </c>
      <c r="D40" t="s">
        <v>228</v>
      </c>
      <c r="E40" s="1">
        <v>45726</v>
      </c>
      <c r="F40" s="1">
        <v>45862</v>
      </c>
      <c r="G40" t="s">
        <v>288</v>
      </c>
      <c r="H40" t="s">
        <v>23</v>
      </c>
      <c r="J40">
        <v>0</v>
      </c>
      <c r="K40">
        <f t="shared" si="1"/>
        <v>0</v>
      </c>
    </row>
    <row r="41" spans="1:11" x14ac:dyDescent="0.3">
      <c r="A41" t="s">
        <v>386</v>
      </c>
      <c r="B41" t="s">
        <v>70</v>
      </c>
      <c r="C41" t="s">
        <v>71</v>
      </c>
      <c r="D41" t="s">
        <v>78</v>
      </c>
      <c r="E41" s="1">
        <v>45831</v>
      </c>
      <c r="F41" s="1">
        <v>46077</v>
      </c>
      <c r="G41" t="s">
        <v>387</v>
      </c>
      <c r="H41" t="s">
        <v>23</v>
      </c>
      <c r="J41">
        <v>11</v>
      </c>
      <c r="K41">
        <f t="shared" si="1"/>
        <v>4.4660982541615914E-2</v>
      </c>
    </row>
    <row r="42" spans="1:11" x14ac:dyDescent="0.3">
      <c r="A42" t="s">
        <v>388</v>
      </c>
      <c r="B42" t="s">
        <v>70</v>
      </c>
      <c r="C42" t="s">
        <v>71</v>
      </c>
      <c r="D42" t="s">
        <v>149</v>
      </c>
      <c r="E42" s="1">
        <v>45761</v>
      </c>
      <c r="F42" s="1">
        <v>46040</v>
      </c>
      <c r="G42" t="s">
        <v>389</v>
      </c>
      <c r="H42" t="s">
        <v>23</v>
      </c>
      <c r="J42">
        <v>5.2</v>
      </c>
      <c r="K42">
        <f t="shared" si="1"/>
        <v>2.1112464474218433E-2</v>
      </c>
    </row>
    <row r="43" spans="1:11" x14ac:dyDescent="0.3">
      <c r="A43" t="s">
        <v>414</v>
      </c>
      <c r="B43" t="s">
        <v>70</v>
      </c>
      <c r="C43" t="s">
        <v>71</v>
      </c>
      <c r="D43" t="s">
        <v>163</v>
      </c>
      <c r="E43" s="1">
        <v>45803</v>
      </c>
      <c r="F43" s="1">
        <v>46052</v>
      </c>
      <c r="G43" t="s">
        <v>415</v>
      </c>
      <c r="H43" t="s">
        <v>23</v>
      </c>
      <c r="J43">
        <v>6.1</v>
      </c>
      <c r="K43">
        <f t="shared" si="1"/>
        <v>2.4766544863987005E-2</v>
      </c>
    </row>
    <row r="44" spans="1:11" x14ac:dyDescent="0.3">
      <c r="A44" t="s">
        <v>418</v>
      </c>
      <c r="B44" t="s">
        <v>81</v>
      </c>
      <c r="C44" t="s">
        <v>81</v>
      </c>
      <c r="D44" t="s">
        <v>419</v>
      </c>
      <c r="E44" s="1">
        <v>45495</v>
      </c>
      <c r="F44" s="1">
        <v>46022</v>
      </c>
      <c r="G44" t="s">
        <v>420</v>
      </c>
      <c r="H44" t="s">
        <v>23</v>
      </c>
      <c r="J44">
        <v>0</v>
      </c>
      <c r="K44">
        <f t="shared" si="1"/>
        <v>0</v>
      </c>
    </row>
    <row r="45" spans="1:11" x14ac:dyDescent="0.3">
      <c r="A45" t="s">
        <v>421</v>
      </c>
      <c r="B45" t="s">
        <v>70</v>
      </c>
      <c r="C45" t="s">
        <v>71</v>
      </c>
      <c r="D45" t="s">
        <v>101</v>
      </c>
      <c r="E45" s="1">
        <v>45803</v>
      </c>
      <c r="F45" s="1">
        <v>45972</v>
      </c>
      <c r="G45" t="s">
        <v>422</v>
      </c>
      <c r="H45" t="s">
        <v>23</v>
      </c>
      <c r="J45">
        <v>0</v>
      </c>
      <c r="K45">
        <f t="shared" si="1"/>
        <v>0</v>
      </c>
    </row>
    <row r="46" spans="1:11" x14ac:dyDescent="0.3">
      <c r="A46" t="s">
        <v>446</v>
      </c>
      <c r="B46" t="s">
        <v>81</v>
      </c>
      <c r="C46" t="s">
        <v>92</v>
      </c>
      <c r="D46" t="s">
        <v>153</v>
      </c>
      <c r="E46" s="1">
        <v>45299</v>
      </c>
      <c r="F46" s="1">
        <v>46387</v>
      </c>
      <c r="G46" t="s">
        <v>447</v>
      </c>
      <c r="H46" t="s">
        <v>23</v>
      </c>
      <c r="J46">
        <v>0</v>
      </c>
      <c r="K46">
        <f t="shared" si="1"/>
        <v>0</v>
      </c>
    </row>
    <row r="47" spans="1:11" x14ac:dyDescent="0.3">
      <c r="A47" t="s">
        <v>448</v>
      </c>
      <c r="B47" t="s">
        <v>81</v>
      </c>
      <c r="C47" t="s">
        <v>81</v>
      </c>
      <c r="D47" t="s">
        <v>21</v>
      </c>
      <c r="E47" s="1">
        <v>45460</v>
      </c>
      <c r="F47" s="1">
        <v>46387</v>
      </c>
      <c r="G47" t="s">
        <v>449</v>
      </c>
      <c r="H47" t="s">
        <v>23</v>
      </c>
      <c r="J47">
        <v>0</v>
      </c>
      <c r="K47">
        <f t="shared" si="1"/>
        <v>0</v>
      </c>
    </row>
    <row r="48" spans="1:11" x14ac:dyDescent="0.3">
      <c r="A48" t="s">
        <v>479</v>
      </c>
      <c r="B48" t="s">
        <v>81</v>
      </c>
      <c r="C48" t="s">
        <v>82</v>
      </c>
      <c r="D48" t="s">
        <v>46</v>
      </c>
      <c r="E48" s="1">
        <v>45817</v>
      </c>
      <c r="F48" s="1">
        <v>46387</v>
      </c>
      <c r="G48" t="s">
        <v>480</v>
      </c>
      <c r="H48" t="s">
        <v>23</v>
      </c>
      <c r="J48">
        <v>29</v>
      </c>
      <c r="K48">
        <f t="shared" si="1"/>
        <v>0.1177425903369874</v>
      </c>
    </row>
    <row r="49" spans="1:11" x14ac:dyDescent="0.3">
      <c r="A49" t="s">
        <v>486</v>
      </c>
      <c r="B49" t="s">
        <v>81</v>
      </c>
      <c r="C49" t="s">
        <v>92</v>
      </c>
      <c r="D49" t="s">
        <v>437</v>
      </c>
      <c r="E49" s="1">
        <v>45705</v>
      </c>
      <c r="F49" s="1">
        <v>45900</v>
      </c>
      <c r="G49" t="s">
        <v>487</v>
      </c>
      <c r="H49" t="s">
        <v>23</v>
      </c>
      <c r="J49">
        <v>0</v>
      </c>
      <c r="K49">
        <f t="shared" si="1"/>
        <v>0</v>
      </c>
    </row>
    <row r="50" spans="1:11" x14ac:dyDescent="0.3">
      <c r="A50" t="s">
        <v>494</v>
      </c>
      <c r="B50" t="s">
        <v>70</v>
      </c>
      <c r="C50" t="s">
        <v>70</v>
      </c>
      <c r="E50" s="1">
        <v>45859</v>
      </c>
      <c r="F50" s="1">
        <v>45891</v>
      </c>
      <c r="G50" t="s">
        <v>495</v>
      </c>
      <c r="H50" t="s">
        <v>23</v>
      </c>
      <c r="J50">
        <v>0</v>
      </c>
      <c r="K50">
        <f t="shared" si="1"/>
        <v>0</v>
      </c>
    </row>
    <row r="51" spans="1:11" x14ac:dyDescent="0.3">
      <c r="A51" t="s">
        <v>496</v>
      </c>
      <c r="B51" t="s">
        <v>70</v>
      </c>
      <c r="C51" t="s">
        <v>263</v>
      </c>
      <c r="D51" t="s">
        <v>437</v>
      </c>
      <c r="E51" s="1">
        <v>45845</v>
      </c>
      <c r="F51" s="1">
        <v>46062</v>
      </c>
      <c r="G51" t="s">
        <v>497</v>
      </c>
      <c r="H51" t="s">
        <v>23</v>
      </c>
      <c r="J51">
        <v>18.2</v>
      </c>
      <c r="K51">
        <f t="shared" si="1"/>
        <v>7.3893625659764511E-2</v>
      </c>
    </row>
    <row r="52" spans="1:11" x14ac:dyDescent="0.3">
      <c r="A52" t="s">
        <v>502</v>
      </c>
      <c r="B52" t="s">
        <v>70</v>
      </c>
      <c r="C52" t="s">
        <v>71</v>
      </c>
      <c r="D52" t="s">
        <v>97</v>
      </c>
      <c r="E52" s="1">
        <v>45691</v>
      </c>
      <c r="F52" s="1">
        <v>45960</v>
      </c>
      <c r="G52" t="s">
        <v>503</v>
      </c>
      <c r="H52" t="s">
        <v>23</v>
      </c>
      <c r="J52">
        <v>0.7</v>
      </c>
      <c r="K52">
        <f t="shared" si="1"/>
        <v>2.842062525375558E-3</v>
      </c>
    </row>
    <row r="53" spans="1:11" x14ac:dyDescent="0.3">
      <c r="A53" t="s">
        <v>518</v>
      </c>
      <c r="B53" t="s">
        <v>81</v>
      </c>
      <c r="C53" t="s">
        <v>92</v>
      </c>
      <c r="D53" t="s">
        <v>21</v>
      </c>
      <c r="E53" s="1">
        <v>45166</v>
      </c>
      <c r="F53" s="1">
        <v>46387</v>
      </c>
      <c r="G53" t="s">
        <v>519</v>
      </c>
      <c r="H53" t="s">
        <v>23</v>
      </c>
      <c r="J53">
        <v>10</v>
      </c>
      <c r="K53">
        <f t="shared" si="1"/>
        <v>4.0600893219650831E-2</v>
      </c>
    </row>
    <row r="54" spans="1:11" x14ac:dyDescent="0.3">
      <c r="A54" t="s">
        <v>520</v>
      </c>
      <c r="B54" t="s">
        <v>81</v>
      </c>
      <c r="C54" t="s">
        <v>521</v>
      </c>
      <c r="D54" t="s">
        <v>21</v>
      </c>
      <c r="E54" s="1">
        <v>45166</v>
      </c>
      <c r="F54" s="1">
        <v>46387</v>
      </c>
      <c r="G54" t="s">
        <v>522</v>
      </c>
      <c r="H54" t="s">
        <v>23</v>
      </c>
      <c r="J54">
        <v>12.3</v>
      </c>
      <c r="K54">
        <f t="shared" si="1"/>
        <v>4.9939098660170524E-2</v>
      </c>
    </row>
    <row r="55" spans="1:11" x14ac:dyDescent="0.3">
      <c r="A55" t="s">
        <v>523</v>
      </c>
      <c r="B55" t="s">
        <v>81</v>
      </c>
      <c r="C55" t="s">
        <v>524</v>
      </c>
      <c r="D55" t="s">
        <v>78</v>
      </c>
      <c r="E55" s="1">
        <v>45201</v>
      </c>
      <c r="F55" s="1">
        <v>46387</v>
      </c>
      <c r="G55" t="s">
        <v>525</v>
      </c>
      <c r="H55" t="s">
        <v>23</v>
      </c>
      <c r="J55">
        <v>0</v>
      </c>
      <c r="K55">
        <f t="shared" si="1"/>
        <v>0</v>
      </c>
    </row>
    <row r="56" spans="1:11" x14ac:dyDescent="0.3">
      <c r="A56" t="s">
        <v>526</v>
      </c>
      <c r="B56" t="s">
        <v>81</v>
      </c>
      <c r="C56" t="s">
        <v>521</v>
      </c>
      <c r="D56" t="s">
        <v>527</v>
      </c>
      <c r="E56" s="1">
        <v>45166</v>
      </c>
      <c r="F56" s="1">
        <v>46387</v>
      </c>
      <c r="G56" t="s">
        <v>528</v>
      </c>
      <c r="H56" t="s">
        <v>23</v>
      </c>
      <c r="J56">
        <v>24.5</v>
      </c>
      <c r="K56">
        <f t="shared" si="1"/>
        <v>9.9472188388144533E-2</v>
      </c>
    </row>
    <row r="57" spans="1:11" x14ac:dyDescent="0.3">
      <c r="A57" t="s">
        <v>529</v>
      </c>
      <c r="B57" t="s">
        <v>81</v>
      </c>
      <c r="C57" t="s">
        <v>82</v>
      </c>
      <c r="D57" t="s">
        <v>64</v>
      </c>
      <c r="E57" s="1">
        <v>45166</v>
      </c>
      <c r="F57" s="1">
        <v>46387</v>
      </c>
      <c r="G57" t="s">
        <v>530</v>
      </c>
      <c r="H57" t="s">
        <v>23</v>
      </c>
      <c r="J57">
        <v>0</v>
      </c>
      <c r="K57">
        <f t="shared" si="1"/>
        <v>0</v>
      </c>
    </row>
    <row r="58" spans="1:11" x14ac:dyDescent="0.3">
      <c r="A58" t="s">
        <v>535</v>
      </c>
      <c r="B58" t="s">
        <v>81</v>
      </c>
      <c r="C58" t="s">
        <v>82</v>
      </c>
      <c r="D58" t="s">
        <v>536</v>
      </c>
      <c r="E58" s="1">
        <v>45656</v>
      </c>
      <c r="F58" s="1">
        <v>46022</v>
      </c>
      <c r="G58" t="s">
        <v>537</v>
      </c>
      <c r="H58" t="s">
        <v>23</v>
      </c>
      <c r="J58">
        <v>0</v>
      </c>
      <c r="K58">
        <f t="shared" si="1"/>
        <v>0</v>
      </c>
    </row>
    <row r="59" spans="1:11" x14ac:dyDescent="0.3">
      <c r="A59" t="s">
        <v>566</v>
      </c>
      <c r="B59" t="s">
        <v>81</v>
      </c>
      <c r="C59" t="s">
        <v>166</v>
      </c>
      <c r="D59" t="s">
        <v>21</v>
      </c>
      <c r="E59" s="1">
        <v>45201</v>
      </c>
      <c r="F59" s="1">
        <v>46387</v>
      </c>
      <c r="G59" t="s">
        <v>567</v>
      </c>
      <c r="H59" t="s">
        <v>23</v>
      </c>
      <c r="J59">
        <v>0</v>
      </c>
      <c r="K59">
        <f t="shared" si="1"/>
        <v>0</v>
      </c>
    </row>
    <row r="60" spans="1:11" x14ac:dyDescent="0.3">
      <c r="A60" t="s">
        <v>568</v>
      </c>
      <c r="B60" t="s">
        <v>81</v>
      </c>
      <c r="C60" t="s">
        <v>166</v>
      </c>
      <c r="D60" t="s">
        <v>97</v>
      </c>
      <c r="E60" s="1">
        <v>45313</v>
      </c>
      <c r="F60" s="1">
        <v>46387</v>
      </c>
      <c r="G60" t="s">
        <v>569</v>
      </c>
      <c r="H60" t="s">
        <v>23</v>
      </c>
      <c r="J60">
        <v>0</v>
      </c>
      <c r="K60">
        <f t="shared" si="1"/>
        <v>0</v>
      </c>
    </row>
    <row r="61" spans="1:11" x14ac:dyDescent="0.3">
      <c r="A61" t="s">
        <v>570</v>
      </c>
      <c r="B61" t="s">
        <v>81</v>
      </c>
      <c r="C61" t="s">
        <v>81</v>
      </c>
      <c r="D61" t="s">
        <v>64</v>
      </c>
      <c r="E61" s="1">
        <v>45481</v>
      </c>
      <c r="F61" s="1">
        <v>46387</v>
      </c>
      <c r="G61" t="s">
        <v>571</v>
      </c>
      <c r="H61" t="s">
        <v>23</v>
      </c>
      <c r="J61">
        <v>0</v>
      </c>
      <c r="K61">
        <f t="shared" si="1"/>
        <v>0</v>
      </c>
    </row>
    <row r="62" spans="1:11" x14ac:dyDescent="0.3">
      <c r="A62" t="s">
        <v>587</v>
      </c>
      <c r="B62" t="s">
        <v>70</v>
      </c>
      <c r="C62" t="s">
        <v>263</v>
      </c>
      <c r="D62" t="s">
        <v>64</v>
      </c>
      <c r="E62" s="1">
        <v>45789</v>
      </c>
      <c r="F62" s="1">
        <v>46022</v>
      </c>
      <c r="G62" t="s">
        <v>588</v>
      </c>
      <c r="H62" t="s">
        <v>23</v>
      </c>
      <c r="J62">
        <v>23.5</v>
      </c>
      <c r="K62">
        <f t="shared" si="1"/>
        <v>9.5412099066179451E-2</v>
      </c>
    </row>
    <row r="63" spans="1:11" x14ac:dyDescent="0.3">
      <c r="A63" t="s">
        <v>610</v>
      </c>
      <c r="B63" t="s">
        <v>81</v>
      </c>
      <c r="C63" t="s">
        <v>82</v>
      </c>
      <c r="D63" t="s">
        <v>21</v>
      </c>
      <c r="E63" s="1">
        <v>45817</v>
      </c>
      <c r="F63" s="1">
        <v>46022</v>
      </c>
      <c r="G63" t="s">
        <v>611</v>
      </c>
      <c r="H63" t="s">
        <v>23</v>
      </c>
      <c r="J63">
        <v>0</v>
      </c>
      <c r="K63">
        <f t="shared" si="1"/>
        <v>0</v>
      </c>
    </row>
    <row r="64" spans="1:11" x14ac:dyDescent="0.3">
      <c r="A64" t="s">
        <v>612</v>
      </c>
      <c r="B64" t="s">
        <v>613</v>
      </c>
      <c r="C64" t="s">
        <v>614</v>
      </c>
      <c r="D64" t="s">
        <v>46</v>
      </c>
      <c r="E64" s="1">
        <v>45166</v>
      </c>
      <c r="F64" s="1">
        <v>46388</v>
      </c>
      <c r="G64" t="s">
        <v>615</v>
      </c>
      <c r="H64" t="s">
        <v>23</v>
      </c>
      <c r="J64">
        <v>1</v>
      </c>
      <c r="K64">
        <f t="shared" si="1"/>
        <v>4.0600893219650833E-3</v>
      </c>
    </row>
    <row r="65" spans="1:11" x14ac:dyDescent="0.3">
      <c r="A65" t="s">
        <v>616</v>
      </c>
      <c r="B65" t="s">
        <v>613</v>
      </c>
      <c r="C65" t="s">
        <v>614</v>
      </c>
      <c r="D65" t="s">
        <v>46</v>
      </c>
      <c r="E65" s="1">
        <v>45166</v>
      </c>
      <c r="F65" s="1">
        <v>46388</v>
      </c>
      <c r="G65" t="s">
        <v>617</v>
      </c>
      <c r="H65" t="s">
        <v>23</v>
      </c>
      <c r="J65">
        <v>25.5</v>
      </c>
      <c r="K65">
        <f t="shared" si="1"/>
        <v>0.10353227771010962</v>
      </c>
    </row>
    <row r="66" spans="1:11" x14ac:dyDescent="0.3">
      <c r="A66" t="s">
        <v>621</v>
      </c>
      <c r="B66" t="s">
        <v>613</v>
      </c>
      <c r="C66" t="s">
        <v>614</v>
      </c>
      <c r="D66" t="s">
        <v>46</v>
      </c>
      <c r="E66" s="1">
        <v>45166</v>
      </c>
      <c r="F66" s="1">
        <v>46388</v>
      </c>
      <c r="G66" t="s">
        <v>622</v>
      </c>
      <c r="H66" t="s">
        <v>23</v>
      </c>
      <c r="J66">
        <v>8</v>
      </c>
      <c r="K66">
        <f t="shared" si="1"/>
        <v>3.2480714575720666E-2</v>
      </c>
    </row>
    <row r="67" spans="1:11" x14ac:dyDescent="0.3">
      <c r="A67" t="s">
        <v>625</v>
      </c>
      <c r="J67">
        <v>0</v>
      </c>
      <c r="K67">
        <f t="shared" si="1"/>
        <v>0</v>
      </c>
    </row>
    <row r="68" spans="1:11" x14ac:dyDescent="0.3">
      <c r="A68" t="s">
        <v>626</v>
      </c>
      <c r="J68">
        <f>SUM(J7:J67)</f>
        <v>246.3</v>
      </c>
      <c r="K68">
        <f>SUM(K7:K67)</f>
        <v>1</v>
      </c>
    </row>
  </sheetData>
  <phoneticPr fontId="1"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3"/>
  <sheetViews>
    <sheetView workbookViewId="0"/>
  </sheetViews>
  <sheetFormatPr defaultRowHeight="14.5" x14ac:dyDescent="0.3"/>
  <sheetData>
    <row r="2" spans="2:2" x14ac:dyDescent="0.3">
      <c r="B2" t="s">
        <v>633</v>
      </c>
    </row>
    <row r="3" spans="2:2" x14ac:dyDescent="0.3">
      <c r="B3" t="s">
        <v>634</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Total</vt:lpstr>
      <vt:lpstr>MBDC-ADS</vt:lpstr>
      <vt:lpstr>MBDC-CMF</vt:lpstr>
      <vt:lpstr>MBDC-HFDR</vt:lpstr>
      <vt:lpstr>MBDC-ID</vt:lpstr>
      <vt:lpstr>MBDC-UX</vt:lpstr>
      <vt:lpstr>MBDC-VCPD</vt:lpstr>
      <vt:lpstr>AMS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Seal Liang(梁昆弘)</cp:lastModifiedBy>
  <dcterms:created xsi:type="dcterms:W3CDTF">2026-03-23T02:39:50Z</dcterms:created>
  <dcterms:modified xsi:type="dcterms:W3CDTF">2026-03-24T00:50:41Z</dcterms:modified>
</cp:coreProperties>
</file>